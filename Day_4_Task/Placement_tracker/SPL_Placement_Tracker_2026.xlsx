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30_Days_Process\Day_4_Task\Placement_tracker\"/>
    </mc:Choice>
  </mc:AlternateContent>
  <xr:revisionPtr revIDLastSave="0" documentId="13_ncr:1_{9A44AB9D-3CD2-41C9-A24E-9E0253C51561}" xr6:coauthVersionLast="47" xr6:coauthVersionMax="47" xr10:uidLastSave="{00000000-0000-0000-0000-000000000000}"/>
  <bookViews>
    <workbookView xWindow="-108" yWindow="-108" windowWidth="23256" windowHeight="12456" tabRatio="500" firstSheet="4" activeTab="4" xr2:uid="{00000000-000D-0000-FFFF-FFFF00000000}"/>
  </bookViews>
  <sheets>
    <sheet name="Student Master" sheetId="1" r:id="rId1"/>
    <sheet name="Daily Attendance" sheetId="2" r:id="rId2"/>
    <sheet name="Daily Task Tracker" sheetId="3" r:id="rId3"/>
    <sheet name="Mock Interview Tracker" sheetId="4" r:id="rId4"/>
    <sheet name="Company Database" sheetId="5" r:id="rId5"/>
    <sheet name="Job Application Tracker" sheetId="6" r:id="rId6"/>
    <sheet name="Placement Tracker" sheetId="7" r:id="rId7"/>
    <sheet name="LinkedIn Activity Tracker" sheetId="8" r:id="rId8"/>
    <sheet name="GitHub Project Tracker" sheetId="9" r:id="rId9"/>
    <sheet name="Dashboard" sheetId="10" r:id="rId10"/>
  </sheets>
  <definedNames>
    <definedName name="_xlnm._FilterDatabase" localSheetId="4" hidden="1">'Company Database'!$A$3:$J$18</definedName>
    <definedName name="_xlnm._FilterDatabase" localSheetId="1" hidden="1">'Daily Attendance'!$A$3:$E$3</definedName>
    <definedName name="_xlnm._FilterDatabase" localSheetId="2" hidden="1">'Daily Task Tracker'!$A$3:$J$104</definedName>
    <definedName name="_xlnm._FilterDatabase" localSheetId="8" hidden="1">'GitHub Project Tracker'!$A$3:$F$65</definedName>
    <definedName name="_xlnm._FilterDatabase" localSheetId="5" hidden="1">'Job Application Tracker'!$A$3:$H$108</definedName>
    <definedName name="_xlnm._FilterDatabase" localSheetId="7" hidden="1">'LinkedIn Activity Tracker'!$A$3:$G$144</definedName>
    <definedName name="_xlnm._FilterDatabase" localSheetId="3" hidden="1">'Mock Interview Tracker'!$A$3:$L$34</definedName>
    <definedName name="_xlnm._FilterDatabase" localSheetId="6" hidden="1">'Placement Tracker'!$A$3:$G$18</definedName>
    <definedName name="_xlnm._FilterDatabase" localSheetId="0" hidden="1">'Student Master'!$A$3:$T$33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4" i="10" l="1"/>
  <c r="B43" i="10"/>
  <c r="B42" i="10"/>
  <c r="B41" i="10"/>
  <c r="B40" i="10"/>
  <c r="B39" i="10"/>
  <c r="B38" i="10"/>
  <c r="B37" i="10"/>
  <c r="J22" i="10"/>
  <c r="J21" i="10"/>
  <c r="J20" i="10"/>
  <c r="J19" i="10"/>
  <c r="J18" i="10"/>
  <c r="M13" i="10"/>
  <c r="I13" i="10"/>
  <c r="A13" i="10"/>
  <c r="M9" i="10"/>
  <c r="I9" i="10"/>
  <c r="E9" i="10"/>
  <c r="A9" i="10"/>
  <c r="M5" i="10"/>
  <c r="I5" i="10"/>
  <c r="E5" i="10"/>
  <c r="A5" i="10"/>
  <c r="E20" i="7"/>
  <c r="C20" i="7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C637" i="2"/>
  <c r="B637" i="2"/>
  <c r="C636" i="2"/>
  <c r="B636" i="2"/>
  <c r="C635" i="2"/>
  <c r="B635" i="2"/>
  <c r="C634" i="2"/>
  <c r="B634" i="2"/>
  <c r="C633" i="2"/>
  <c r="B633" i="2"/>
  <c r="C632" i="2"/>
  <c r="B632" i="2"/>
  <c r="C631" i="2"/>
  <c r="B631" i="2"/>
  <c r="C630" i="2"/>
  <c r="B630" i="2"/>
  <c r="C629" i="2"/>
  <c r="B629" i="2"/>
  <c r="C628" i="2"/>
  <c r="B628" i="2"/>
  <c r="C627" i="2"/>
  <c r="B627" i="2"/>
  <c r="C626" i="2"/>
  <c r="B626" i="2"/>
  <c r="C625" i="2"/>
  <c r="B625" i="2"/>
  <c r="C624" i="2"/>
  <c r="B624" i="2"/>
  <c r="C623" i="2"/>
  <c r="B623" i="2"/>
  <c r="C622" i="2"/>
  <c r="B622" i="2"/>
  <c r="C621" i="2"/>
  <c r="B621" i="2"/>
  <c r="D620" i="2"/>
  <c r="C620" i="2"/>
  <c r="B620" i="2"/>
  <c r="C619" i="2"/>
  <c r="B619" i="2"/>
  <c r="C618" i="2"/>
  <c r="B618" i="2"/>
  <c r="C617" i="2"/>
  <c r="B617" i="2"/>
  <c r="C616" i="2"/>
  <c r="B616" i="2"/>
  <c r="C615" i="2"/>
  <c r="B615" i="2"/>
  <c r="C614" i="2"/>
  <c r="B614" i="2"/>
  <c r="C613" i="2"/>
  <c r="B613" i="2"/>
  <c r="C612" i="2"/>
  <c r="B612" i="2"/>
  <c r="C611" i="2"/>
  <c r="B611" i="2"/>
  <c r="D610" i="2"/>
  <c r="C610" i="2"/>
  <c r="B610" i="2"/>
  <c r="C609" i="2"/>
  <c r="B609" i="2"/>
  <c r="C608" i="2"/>
  <c r="B608" i="2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L28" i="4" l="1"/>
  <c r="L18" i="4"/>
  <c r="L8" i="4"/>
  <c r="L7" i="4"/>
  <c r="L6" i="4"/>
  <c r="L5" i="4"/>
  <c r="L4" i="4"/>
  <c r="D637" i="2"/>
  <c r="D636" i="2"/>
  <c r="D635" i="2"/>
  <c r="D634" i="2"/>
  <c r="D633" i="2"/>
  <c r="D629" i="2"/>
  <c r="D628" i="2"/>
  <c r="D626" i="2"/>
  <c r="D625" i="2"/>
  <c r="D622" i="2"/>
  <c r="D621" i="2"/>
  <c r="D611" i="2"/>
  <c r="E610" i="2"/>
  <c r="D619" i="2"/>
  <c r="D609" i="2"/>
  <c r="D608" i="2"/>
  <c r="L29" i="4"/>
  <c r="L27" i="4"/>
  <c r="L26" i="4"/>
  <c r="L24" i="4"/>
  <c r="L23" i="4"/>
  <c r="L21" i="4"/>
  <c r="L19" i="4"/>
  <c r="L16" i="4"/>
  <c r="L13" i="4"/>
  <c r="L11" i="4"/>
  <c r="L9" i="4"/>
  <c r="D632" i="2"/>
  <c r="D631" i="2"/>
  <c r="D630" i="2"/>
  <c r="D627" i="2"/>
  <c r="D623" i="2"/>
  <c r="D617" i="2"/>
  <c r="D616" i="2"/>
  <c r="D615" i="2"/>
  <c r="D614" i="2"/>
  <c r="D613" i="2"/>
  <c r="B20" i="10"/>
  <c r="B19" i="10"/>
  <c r="B18" i="10"/>
  <c r="E13" i="10"/>
  <c r="L33" i="4"/>
  <c r="L32" i="4"/>
  <c r="L31" i="4"/>
  <c r="L30" i="4"/>
  <c r="L25" i="4"/>
  <c r="L22" i="4"/>
  <c r="L20" i="4"/>
  <c r="L17" i="4"/>
  <c r="L15" i="4"/>
  <c r="L14" i="4"/>
  <c r="L12" i="4"/>
  <c r="L10" i="4"/>
  <c r="D624" i="2"/>
  <c r="E620" i="2"/>
  <c r="D618" i="2"/>
  <c r="D612" i="2"/>
  <c r="E637" i="2" l="1"/>
  <c r="E636" i="2"/>
  <c r="E635" i="2"/>
  <c r="E634" i="2"/>
  <c r="E633" i="2"/>
  <c r="E629" i="2"/>
  <c r="E628" i="2"/>
  <c r="E626" i="2"/>
  <c r="E625" i="2"/>
  <c r="E622" i="2"/>
  <c r="E621" i="2"/>
  <c r="E611" i="2"/>
  <c r="E619" i="2"/>
  <c r="E609" i="2"/>
  <c r="E608" i="2"/>
  <c r="E632" i="2"/>
  <c r="E631" i="2"/>
  <c r="E630" i="2"/>
  <c r="E627" i="2"/>
  <c r="E623" i="2"/>
  <c r="E617" i="2"/>
  <c r="E616" i="2"/>
  <c r="E614" i="2"/>
  <c r="E613" i="2"/>
  <c r="E624" i="2"/>
  <c r="E618" i="2"/>
  <c r="E615" i="2"/>
  <c r="E612" i="2"/>
</calcChain>
</file>

<file path=xl/sharedStrings.xml><?xml version="1.0" encoding="utf-8"?>
<sst xmlns="http://schemas.openxmlformats.org/spreadsheetml/2006/main" count="5853" uniqueCount="507">
  <si>
    <t>SPL PLACEMENT TRACKER 2026 — STUDENT MASTER</t>
  </si>
  <si>
    <t>Batch MERN Stack | Training Institute</t>
  </si>
  <si>
    <t>Student ID</t>
  </si>
  <si>
    <t>Student Name</t>
  </si>
  <si>
    <t>Mobile</t>
  </si>
  <si>
    <t>Email</t>
  </si>
  <si>
    <t>Batch</t>
  </si>
  <si>
    <t>Course</t>
  </si>
  <si>
    <t>Location</t>
  </si>
  <si>
    <t>HTML
(1-10)</t>
  </si>
  <si>
    <t>CSS
(1-10)</t>
  </si>
  <si>
    <t>JavaScript
(1-10)</t>
  </si>
  <si>
    <t>React
(1-10)</t>
  </si>
  <si>
    <t>Node.js
(1-10)</t>
  </si>
  <si>
    <t>MongoDB
(1-10)</t>
  </si>
  <si>
    <t>Communication
(1-10)</t>
  </si>
  <si>
    <t>Resume
Status</t>
  </si>
  <si>
    <t>LinkedIn
Status</t>
  </si>
  <si>
    <t>GitHub
Status</t>
  </si>
  <si>
    <t>Projects
Completed</t>
  </si>
  <si>
    <t>Mock Interview
Score</t>
  </si>
  <si>
    <t>Overall
Readiness</t>
  </si>
  <si>
    <t>SPL2026101</t>
  </si>
  <si>
    <t>Arjun Kumar</t>
  </si>
  <si>
    <t>9680746448</t>
  </si>
  <si>
    <t>arjun.kumar@gmail.com</t>
  </si>
  <si>
    <t>Batch B</t>
  </si>
  <si>
    <t>MERN Stack</t>
  </si>
  <si>
    <t>Bangalore</t>
  </si>
  <si>
    <t>Pending</t>
  </si>
  <si>
    <t>Complete</t>
  </si>
  <si>
    <t>SPL2026102</t>
  </si>
  <si>
    <t>Priya Sharma</t>
  </si>
  <si>
    <t>9611231156</t>
  </si>
  <si>
    <t>priya.sharma@gmail.com</t>
  </si>
  <si>
    <t>Batch C</t>
  </si>
  <si>
    <t>Hyderabad</t>
  </si>
  <si>
    <t>SPL2026103</t>
  </si>
  <si>
    <t>Karthik Raj</t>
  </si>
  <si>
    <t>9379756300</t>
  </si>
  <si>
    <t>karthik.raj@gmail.com</t>
  </si>
  <si>
    <t>Batch A</t>
  </si>
  <si>
    <t>Coimbatore</t>
  </si>
  <si>
    <t>SPL2026104</t>
  </si>
  <si>
    <t>Divya Devi</t>
  </si>
  <si>
    <t>9316135292</t>
  </si>
  <si>
    <t>divya.devi@gmail.com</t>
  </si>
  <si>
    <t>Madurai</t>
  </si>
  <si>
    <t>SPL2026105</t>
  </si>
  <si>
    <t>Rahul Singh</t>
  </si>
  <si>
    <t>9773304084</t>
  </si>
  <si>
    <t>rahul.singh@gmail.com</t>
  </si>
  <si>
    <t>Chennai</t>
  </si>
  <si>
    <t>SPL2026106</t>
  </si>
  <si>
    <t>Sneha Nair</t>
  </si>
  <si>
    <t>9807296969</t>
  </si>
  <si>
    <t>sneha.nair@gmail.com</t>
  </si>
  <si>
    <t>SPL2026107</t>
  </si>
  <si>
    <t>Vikram Reddy</t>
  </si>
  <si>
    <t>9220483308</t>
  </si>
  <si>
    <t>vikram.reddy@gmail.com</t>
  </si>
  <si>
    <t>SPL2026108</t>
  </si>
  <si>
    <t>Anita Krishnan</t>
  </si>
  <si>
    <t>9898923321</t>
  </si>
  <si>
    <t>anita.krishnan@gmail.com</t>
  </si>
  <si>
    <t>SPL2026109</t>
  </si>
  <si>
    <t>Suresh Patel</t>
  </si>
  <si>
    <t>9479110290</t>
  </si>
  <si>
    <t>suresh.patel@gmail.com</t>
  </si>
  <si>
    <t>SPL2026110</t>
  </si>
  <si>
    <t>Meena Iyer</t>
  </si>
  <si>
    <t>9350849756</t>
  </si>
  <si>
    <t>meena.iyer@gmail.com</t>
  </si>
  <si>
    <t>SPL2026111</t>
  </si>
  <si>
    <t>Deepak Gupta</t>
  </si>
  <si>
    <t>9501812480</t>
  </si>
  <si>
    <t>deepak.gupta@gmail.com</t>
  </si>
  <si>
    <t>SPL2026112</t>
  </si>
  <si>
    <t>Lakshmi Menon</t>
  </si>
  <si>
    <t>9847376317</t>
  </si>
  <si>
    <t>lakshmi.menon@gmail.com</t>
  </si>
  <si>
    <t>SPL2026113</t>
  </si>
  <si>
    <t>Ravi Varma</t>
  </si>
  <si>
    <t>9700747474</t>
  </si>
  <si>
    <t>ravi.varma@gmail.com</t>
  </si>
  <si>
    <t>SPL2026114</t>
  </si>
  <si>
    <t>Kavya Pillai</t>
  </si>
  <si>
    <t>9900052637</t>
  </si>
  <si>
    <t>kavya.pillai@gmail.com</t>
  </si>
  <si>
    <t>SPL2026115</t>
  </si>
  <si>
    <t>Arun Bose</t>
  </si>
  <si>
    <t>9625539124</t>
  </si>
  <si>
    <t>arun.bose@gmail.com</t>
  </si>
  <si>
    <t>SPL2026116</t>
  </si>
  <si>
    <t>Nithya Naidu</t>
  </si>
  <si>
    <t>9261336512</t>
  </si>
  <si>
    <t>nithya.naidu@gmail.com</t>
  </si>
  <si>
    <t>SPL2026117</t>
  </si>
  <si>
    <t>Santhosh Chowdhury</t>
  </si>
  <si>
    <t>9266859336</t>
  </si>
  <si>
    <t>santhosh.chowdhury@gmail.com</t>
  </si>
  <si>
    <t>SPL2026118</t>
  </si>
  <si>
    <t>Pooja Agarwal</t>
  </si>
  <si>
    <t>9842047681</t>
  </si>
  <si>
    <t>pooja.agarwal@gmail.com</t>
  </si>
  <si>
    <t>SPL2026119</t>
  </si>
  <si>
    <t>Manoj Mishra</t>
  </si>
  <si>
    <t>9997934539</t>
  </si>
  <si>
    <t>manoj.mishra@gmail.com</t>
  </si>
  <si>
    <t>SPL2026120</t>
  </si>
  <si>
    <t>Swetha Joshi</t>
  </si>
  <si>
    <t>9972868415</t>
  </si>
  <si>
    <t>swetha.joshi@gmail.com</t>
  </si>
  <si>
    <t>SPL2026121</t>
  </si>
  <si>
    <t>Balaji Rajan</t>
  </si>
  <si>
    <t>9666703251</t>
  </si>
  <si>
    <t>balaji.rajan@gmail.com</t>
  </si>
  <si>
    <t>SPL2026122</t>
  </si>
  <si>
    <t>Rekha Subramanian</t>
  </si>
  <si>
    <t>9476222229</t>
  </si>
  <si>
    <t>rekha.subramanian@gmail.com</t>
  </si>
  <si>
    <t>SPL2026123</t>
  </si>
  <si>
    <t>Ganesh Pandey</t>
  </si>
  <si>
    <t>9735312779</t>
  </si>
  <si>
    <t>ganesh.pandey@gmail.com</t>
  </si>
  <si>
    <t>SPL2026124</t>
  </si>
  <si>
    <t>Hema Srinivasan</t>
  </si>
  <si>
    <t>9249135330</t>
  </si>
  <si>
    <t>hema.srinivasan@gmail.com</t>
  </si>
  <si>
    <t>SPL2026125</t>
  </si>
  <si>
    <t>Prasad Murthy</t>
  </si>
  <si>
    <t>9334429975</t>
  </si>
  <si>
    <t>prasad.murthy@gmail.com</t>
  </si>
  <si>
    <t>SPL2026126</t>
  </si>
  <si>
    <t>Vaishnavi Chatterjee</t>
  </si>
  <si>
    <t>9502406821</t>
  </si>
  <si>
    <t>vaishnavi.chatterjee@gmail.com</t>
  </si>
  <si>
    <t>SPL2026127</t>
  </si>
  <si>
    <t>Naveen Nambiar</t>
  </si>
  <si>
    <t>9477087118</t>
  </si>
  <si>
    <t>naveen.nambiar@gmail.com</t>
  </si>
  <si>
    <t>SPL2026128</t>
  </si>
  <si>
    <t>Sowmya Anand</t>
  </si>
  <si>
    <t>9811953604</t>
  </si>
  <si>
    <t>sowmya.anand@gmail.com</t>
  </si>
  <si>
    <t>SPL2026129</t>
  </si>
  <si>
    <t>Rajesh Venkat</t>
  </si>
  <si>
    <t>9108353439</t>
  </si>
  <si>
    <t>rajesh.venkat@gmail.com</t>
  </si>
  <si>
    <t>SPL2026130</t>
  </si>
  <si>
    <t>Usha Balakrishnan</t>
  </si>
  <si>
    <t>9469269770</t>
  </si>
  <si>
    <t>usha.balakrishnan@gmail.com</t>
  </si>
  <si>
    <t>DAILY ATTENDANCE TRACKER</t>
  </si>
  <si>
    <t>Track daily student presence | SPL 2026</t>
  </si>
  <si>
    <t>Date</t>
  </si>
  <si>
    <t>Status</t>
  </si>
  <si>
    <t>Remarks</t>
  </si>
  <si>
    <t>Total Days</t>
  </si>
  <si>
    <t>Attendance %</t>
  </si>
  <si>
    <t>05-01-2026</t>
  </si>
  <si>
    <t>Present</t>
  </si>
  <si>
    <t>06-01-2026</t>
  </si>
  <si>
    <t>07-01-2026</t>
  </si>
  <si>
    <t>08-01-2026</t>
  </si>
  <si>
    <t>Absent</t>
  </si>
  <si>
    <t>09-01-2026</t>
  </si>
  <si>
    <t>10-01-2026</t>
  </si>
  <si>
    <t>11-01-2026</t>
  </si>
  <si>
    <t>12-01-2026</t>
  </si>
  <si>
    <t>13-01-2026</t>
  </si>
  <si>
    <t>14-01-2026</t>
  </si>
  <si>
    <t>15-01-2026</t>
  </si>
  <si>
    <t>16-01-2026</t>
  </si>
  <si>
    <t>17-01-2026</t>
  </si>
  <si>
    <t>18-01-2026</t>
  </si>
  <si>
    <t>19-01-2026</t>
  </si>
  <si>
    <t>20-01-2026</t>
  </si>
  <si>
    <t>21-01-2026</t>
  </si>
  <si>
    <t>22-01-2026</t>
  </si>
  <si>
    <t>23-01-2026</t>
  </si>
  <si>
    <t>24-01-2026</t>
  </si>
  <si>
    <t>ATTENDANCE SUMMARY</t>
  </si>
  <si>
    <t>Total Present</t>
  </si>
  <si>
    <t>Total Absent</t>
  </si>
  <si>
    <t>DAILY TASK TRACKER</t>
  </si>
  <si>
    <t>Monitor daily coding &amp; activity progress</t>
  </si>
  <si>
    <t>JavaScript
Practice</t>
  </si>
  <si>
    <t>React
Practice</t>
  </si>
  <si>
    <t>Node
Practice</t>
  </si>
  <si>
    <t>MongoDB
Practice</t>
  </si>
  <si>
    <t>DSA
Practice</t>
  </si>
  <si>
    <t>LinkedIn
Post</t>
  </si>
  <si>
    <t>GitHub
Commit</t>
  </si>
  <si>
    <t>Completed</t>
  </si>
  <si>
    <t>In Progress</t>
  </si>
  <si>
    <t>MOCK INTERVIEW TRACKER</t>
  </si>
  <si>
    <t>Technical &amp; HR performance tracking</t>
  </si>
  <si>
    <t>HTML
Score</t>
  </si>
  <si>
    <t>CSS
Score</t>
  </si>
  <si>
    <t>JavaScript
Score</t>
  </si>
  <si>
    <t>React
Score</t>
  </si>
  <si>
    <t>Node.js
Score</t>
  </si>
  <si>
    <t>MongoDB
Score</t>
  </si>
  <si>
    <t>Communication
Score</t>
  </si>
  <si>
    <t>HR Round
Score</t>
  </si>
  <si>
    <t>Total
Score</t>
  </si>
  <si>
    <t>Result</t>
  </si>
  <si>
    <t>25-01-2026</t>
  </si>
  <si>
    <t>26-01-2026</t>
  </si>
  <si>
    <t>27-01-2026</t>
  </si>
  <si>
    <t>28-01-2026</t>
  </si>
  <si>
    <t>29-01-2026</t>
  </si>
  <si>
    <t>30-01-2026</t>
  </si>
  <si>
    <t>31-01-2026</t>
  </si>
  <si>
    <t>01-02-2026</t>
  </si>
  <si>
    <t>02-02-2026</t>
  </si>
  <si>
    <t>03-02-2026</t>
  </si>
  <si>
    <t>04-02-2026</t>
  </si>
  <si>
    <t>COMPANY DATABASE</t>
  </si>
  <si>
    <t>Track hiring companies &amp; HR contacts</t>
  </si>
  <si>
    <t>Company Name</t>
  </si>
  <si>
    <t>HR Name</t>
  </si>
  <si>
    <t>Phone Number</t>
  </si>
  <si>
    <t>Website</t>
  </si>
  <si>
    <t>Hiring Role</t>
  </si>
  <si>
    <t>Experience
Required</t>
  </si>
  <si>
    <t>Last Contact
Date</t>
  </si>
  <si>
    <t>TCS</t>
  </si>
  <si>
    <t>Arun Sharma</t>
  </si>
  <si>
    <t>arun@tcs.com</t>
  </si>
  <si>
    <t>tcs.com</t>
  </si>
  <si>
    <t>MERN Dev</t>
  </si>
  <si>
    <t>0-2 yrs</t>
  </si>
  <si>
    <t>Contacted</t>
  </si>
  <si>
    <t>Infosys</t>
  </si>
  <si>
    <t>Wipro</t>
  </si>
  <si>
    <t>Interview Scheduled</t>
  </si>
  <si>
    <t>HCL</t>
  </si>
  <si>
    <t>Cognizant</t>
  </si>
  <si>
    <t>Zoho</t>
  </si>
  <si>
    <t>Freshworks</t>
  </si>
  <si>
    <t>Hexaware</t>
  </si>
  <si>
    <t>Mphasis</t>
  </si>
  <si>
    <t>Capgemini</t>
  </si>
  <si>
    <t>Mindtree</t>
  </si>
  <si>
    <t>Accenture</t>
  </si>
  <si>
    <t>Tech Mahindra</t>
  </si>
  <si>
    <t>L&amp;T Infotech</t>
  </si>
  <si>
    <t>Virtusa</t>
  </si>
  <si>
    <t>JOB APPLICATION TRACKER</t>
  </si>
  <si>
    <t>Monitor every application from apply to offer</t>
  </si>
  <si>
    <t>Applied Date</t>
  </si>
  <si>
    <t>Role</t>
  </si>
  <si>
    <t>Application Status</t>
  </si>
  <si>
    <t>Interview Date</t>
  </si>
  <si>
    <t>Round</t>
  </si>
  <si>
    <t>Final Result</t>
  </si>
  <si>
    <t>26-02-2026</t>
  </si>
  <si>
    <t>MERN Stack Developer</t>
  </si>
  <si>
    <t>Applied</t>
  </si>
  <si>
    <t>17-03-2026</t>
  </si>
  <si>
    <t>HR Round</t>
  </si>
  <si>
    <t>On Hold</t>
  </si>
  <si>
    <t>06-03-2026</t>
  </si>
  <si>
    <t>Shortlisted</t>
  </si>
  <si>
    <t>13-03-2026</t>
  </si>
  <si>
    <t>Round 1</t>
  </si>
  <si>
    <t>Selected</t>
  </si>
  <si>
    <t>29-03-2026</t>
  </si>
  <si>
    <t>Round 2</t>
  </si>
  <si>
    <t>Rejected</t>
  </si>
  <si>
    <t>20-03-2026</t>
  </si>
  <si>
    <t>11-03-2026</t>
  </si>
  <si>
    <t>11-02-2026</t>
  </si>
  <si>
    <t>05-04-2026</t>
  </si>
  <si>
    <t>23-02-2026</t>
  </si>
  <si>
    <t>07-03-2026</t>
  </si>
  <si>
    <t>Final</t>
  </si>
  <si>
    <t>Awaiting</t>
  </si>
  <si>
    <t>06-02-2026</t>
  </si>
  <si>
    <t>30-03-2026</t>
  </si>
  <si>
    <t>24-02-2026</t>
  </si>
  <si>
    <t>18-03-2026</t>
  </si>
  <si>
    <t>14-02-2026</t>
  </si>
  <si>
    <t>02-04-2026</t>
  </si>
  <si>
    <t>27-02-2026</t>
  </si>
  <si>
    <t>22-03-2026</t>
  </si>
  <si>
    <t>07-02-2026</t>
  </si>
  <si>
    <t>09-02-2026</t>
  </si>
  <si>
    <t>16-03-2026</t>
  </si>
  <si>
    <t>16-02-2026</t>
  </si>
  <si>
    <t>24-03-2026</t>
  </si>
  <si>
    <t>28-02-2026</t>
  </si>
  <si>
    <t>13-02-2026</t>
  </si>
  <si>
    <t>19-02-2026</t>
  </si>
  <si>
    <t>01-03-2026</t>
  </si>
  <si>
    <t>04-04-2026</t>
  </si>
  <si>
    <t>21-02-2026</t>
  </si>
  <si>
    <t>12-03-2026</t>
  </si>
  <si>
    <t>15-03-2026</t>
  </si>
  <si>
    <t>10-02-2026</t>
  </si>
  <si>
    <t>21-03-2026</t>
  </si>
  <si>
    <t>18-02-2026</t>
  </si>
  <si>
    <t>01-04-2026</t>
  </si>
  <si>
    <t>05-02-2026</t>
  </si>
  <si>
    <t>26-03-2026</t>
  </si>
  <si>
    <t>05-03-2026</t>
  </si>
  <si>
    <t>31-03-2026</t>
  </si>
  <si>
    <t>25-03-2026</t>
  </si>
  <si>
    <t>22-02-2026</t>
  </si>
  <si>
    <t>04-03-2026</t>
  </si>
  <si>
    <t>08-03-2026</t>
  </si>
  <si>
    <t>17-02-2026</t>
  </si>
  <si>
    <t>14-03-2026</t>
  </si>
  <si>
    <t>10-03-2026</t>
  </si>
  <si>
    <t>25-02-2026</t>
  </si>
  <si>
    <t>27-03-2026</t>
  </si>
  <si>
    <t>19-03-2026</t>
  </si>
  <si>
    <t>03-03-2026</t>
  </si>
  <si>
    <t>09-03-2026</t>
  </si>
  <si>
    <t>08-02-2026</t>
  </si>
  <si>
    <t>12-02-2026</t>
  </si>
  <si>
    <t>15-02-2026</t>
  </si>
  <si>
    <t>02-03-2026</t>
  </si>
  <si>
    <t>PLACEMENT TRACKER</t>
  </si>
  <si>
    <t>Final placement records &amp; CTC details</t>
  </si>
  <si>
    <t>CTC (LPA)</t>
  </si>
  <si>
    <t>Joining Date</t>
  </si>
  <si>
    <t>Offer Letter
Received</t>
  </si>
  <si>
    <t>17-04-2026</t>
  </si>
  <si>
    <t>Offer Pending</t>
  </si>
  <si>
    <t>11-04-2026</t>
  </si>
  <si>
    <t>Yes</t>
  </si>
  <si>
    <t>Placed</t>
  </si>
  <si>
    <t>30-04-2026</t>
  </si>
  <si>
    <t>29-04-2026</t>
  </si>
  <si>
    <t>01-05-2026</t>
  </si>
  <si>
    <t>18-04-2026</t>
  </si>
  <si>
    <t>08-04-2026</t>
  </si>
  <si>
    <t>20-04-2026</t>
  </si>
  <si>
    <t>02-05-2026</t>
  </si>
  <si>
    <t>Joined</t>
  </si>
  <si>
    <t>28-04-2026</t>
  </si>
  <si>
    <t>19-04-2026</t>
  </si>
  <si>
    <t>SUMMARY</t>
  </si>
  <si>
    <t>Total Placed:</t>
  </si>
  <si>
    <t>Avg CTC (LPA):</t>
  </si>
  <si>
    <t>LINKEDIN ACTIVITY TRACKER</t>
  </si>
  <si>
    <t>Daily LinkedIn engagement &amp; networking progress</t>
  </si>
  <si>
    <t>Post Created</t>
  </si>
  <si>
    <t>Connections Added</t>
  </si>
  <si>
    <t>Recruiters Contacted</t>
  </si>
  <si>
    <t>Profile Updated</t>
  </si>
  <si>
    <t>No</t>
  </si>
  <si>
    <t>Active</t>
  </si>
  <si>
    <t>Inactive</t>
  </si>
  <si>
    <t>Needs Improvement</t>
  </si>
  <si>
    <t>GITHUB PROJECT TRACKER</t>
  </si>
  <si>
    <t>Student project portfolio &amp; repository status</t>
  </si>
  <si>
    <t>Project Name</t>
  </si>
  <si>
    <t>GitHub Link</t>
  </si>
  <si>
    <t>Technology Used</t>
  </si>
  <si>
    <t>Completion Status</t>
  </si>
  <si>
    <t>Last Updated</t>
  </si>
  <si>
    <t>E-Commerce App</t>
  </si>
  <si>
    <t>https://github.com/arjun/e-commerce-app</t>
  </si>
  <si>
    <t>React, Node.js, MongoDB</t>
  </si>
  <si>
    <t>Portfolio Website</t>
  </si>
  <si>
    <t>https://github.com/arjun/portfolio-website</t>
  </si>
  <si>
    <t>HTML, CSS, JavaScript</t>
  </si>
  <si>
    <t>Blog Platform</t>
  </si>
  <si>
    <t>https://github.com/priya/blog-platform</t>
  </si>
  <si>
    <t>React, Express, MongoDB</t>
  </si>
  <si>
    <t>https://github.com/priya/e-commerce-app</t>
  </si>
  <si>
    <t>Task Manager</t>
  </si>
  <si>
    <t>https://github.com/priya/task-manager</t>
  </si>
  <si>
    <t>https://github.com/karthik/task-manager</t>
  </si>
  <si>
    <t>Chat Application</t>
  </si>
  <si>
    <t>https://github.com/karthik/chat-application</t>
  </si>
  <si>
    <t>React, Socket.io, Node.js</t>
  </si>
  <si>
    <t>https://github.com/karthik/portfolio-website</t>
  </si>
  <si>
    <t>https://github.com/divya/portfolio-website</t>
  </si>
  <si>
    <t>23-03-2026</t>
  </si>
  <si>
    <t>https://github.com/divya/e-commerce-app</t>
  </si>
  <si>
    <t>https://github.com/divya/blog-platform</t>
  </si>
  <si>
    <t>https://github.com/rahul/task-manager</t>
  </si>
  <si>
    <t>https://github.com/rahul/chat-application</t>
  </si>
  <si>
    <t>https://github.com/sneha/task-manager</t>
  </si>
  <si>
    <t>https://github.com/vikram/e-commerce-app</t>
  </si>
  <si>
    <t>https://github.com/anita/portfolio-website</t>
  </si>
  <si>
    <t>https://github.com/anita/chat-application</t>
  </si>
  <si>
    <t>03-04-2026</t>
  </si>
  <si>
    <t>https://github.com/suresh/blog-platform</t>
  </si>
  <si>
    <t>https://github.com/suresh/e-commerce-app</t>
  </si>
  <si>
    <t>https://github.com/meena/portfolio-website</t>
  </si>
  <si>
    <t>https://github.com/deepak/portfolio-website</t>
  </si>
  <si>
    <t>https://github.com/deepak/e-commerce-app</t>
  </si>
  <si>
    <t>https://github.com/lakshmi/task-manager</t>
  </si>
  <si>
    <t>https://github.com/ravi/portfolio-website</t>
  </si>
  <si>
    <t>https://github.com/ravi/task-manager</t>
  </si>
  <si>
    <t>https://github.com/kavya/chat-application</t>
  </si>
  <si>
    <t>https://github.com/kavya/blog-platform</t>
  </si>
  <si>
    <t>https://github.com/arun/blog-platform</t>
  </si>
  <si>
    <t>https://github.com/arun/task-manager</t>
  </si>
  <si>
    <t>https://github.com/arun/chat-application</t>
  </si>
  <si>
    <t>https://github.com/nithya/portfolio-website</t>
  </si>
  <si>
    <t>https://github.com/nithya/task-manager</t>
  </si>
  <si>
    <t>https://github.com/santhosh/task-manager</t>
  </si>
  <si>
    <t>https://github.com/santhosh/chat-application</t>
  </si>
  <si>
    <t>https://github.com/pooja/e-commerce-app</t>
  </si>
  <si>
    <t>https://github.com/manoj/chat-application</t>
  </si>
  <si>
    <t>https://github.com/manoj/portfolio-website</t>
  </si>
  <si>
    <t>https://github.com/swetha/e-commerce-app</t>
  </si>
  <si>
    <t>https://github.com/swetha/portfolio-website</t>
  </si>
  <si>
    <t>https://github.com/balaji/task-manager</t>
  </si>
  <si>
    <t>https://github.com/rekha/e-commerce-app</t>
  </si>
  <si>
    <t>https://github.com/ganesh/e-commerce-app</t>
  </si>
  <si>
    <t>https://github.com/ganesh/portfolio-website</t>
  </si>
  <si>
    <t>https://github.com/ganesh/blog-platform</t>
  </si>
  <si>
    <t>https://github.com/hema/blog-platform</t>
  </si>
  <si>
    <t>https://github.com/prasad/task-manager</t>
  </si>
  <si>
    <t>https://github.com/prasad/blog-platform</t>
  </si>
  <si>
    <t>https://github.com/vaishnavi/blog-platform</t>
  </si>
  <si>
    <t>https://github.com/vaishnavi/chat-application</t>
  </si>
  <si>
    <t>https://github.com/vaishnavi/portfolio-website</t>
  </si>
  <si>
    <t>https://github.com/naveen/blog-platform</t>
  </si>
  <si>
    <t>https://github.com/naveen/e-commerce-app</t>
  </si>
  <si>
    <t>https://github.com/sowmya/e-commerce-app</t>
  </si>
  <si>
    <t>https://github.com/rajesh/chat-application</t>
  </si>
  <si>
    <t>https://github.com/usha/task-manager</t>
  </si>
  <si>
    <t>🎯  SPL PLACEMENT TRACKER 2026  —  DASHBOARD</t>
  </si>
  <si>
    <t>MERN Stack Training Institute  |  Batch 2026  |  Auto-Updated Summary</t>
  </si>
  <si>
    <t>👥</t>
  </si>
  <si>
    <t>✅</t>
  </si>
  <si>
    <t>⚠️</t>
  </si>
  <si>
    <t>❌</t>
  </si>
  <si>
    <t>Total Students</t>
  </si>
  <si>
    <t>Ready Students</t>
  </si>
  <si>
    <t>Need Improvement</t>
  </si>
  <si>
    <t>Not Ready</t>
  </si>
  <si>
    <t>🏢</t>
  </si>
  <si>
    <t>📄</t>
  </si>
  <si>
    <t>📅</t>
  </si>
  <si>
    <t>🏆</t>
  </si>
  <si>
    <t>Companies Contacted</t>
  </si>
  <si>
    <t>Total Applications</t>
  </si>
  <si>
    <t>Interviews Scheduled</t>
  </si>
  <si>
    <t>Total Placements</t>
  </si>
  <si>
    <t>📊</t>
  </si>
  <si>
    <t>📝</t>
  </si>
  <si>
    <t>🎓</t>
  </si>
  <si>
    <t>💰</t>
  </si>
  <si>
    <t>Placement %</t>
  </si>
  <si>
    <t>Avg Mock Score</t>
  </si>
  <si>
    <t>Joined Students</t>
  </si>
  <si>
    <t>Avg CTC (LPA)</t>
  </si>
  <si>
    <t>📊  STUDENT READINESS BREAKDOWN</t>
  </si>
  <si>
    <t>📈  PLACEMENT STATUS FUNNEL</t>
  </si>
  <si>
    <t>Category</t>
  </si>
  <si>
    <t>Count</t>
  </si>
  <si>
    <t>Stage</t>
  </si>
  <si>
    <t>Ready</t>
  </si>
  <si>
    <t>📋  AVG MOCK SCORES BY SUBJECT</t>
  </si>
  <si>
    <t>Subject</t>
  </si>
  <si>
    <t>Avg Score</t>
  </si>
  <si>
    <t>HTML</t>
  </si>
  <si>
    <t>CSS</t>
  </si>
  <si>
    <t>JavaScript</t>
  </si>
  <si>
    <t>React</t>
  </si>
  <si>
    <t>Node.js</t>
  </si>
  <si>
    <t>MongoDB</t>
  </si>
  <si>
    <t>Communication</t>
  </si>
  <si>
    <t>SASTI GROUP OF COMPANIES</t>
  </si>
  <si>
    <t>Software Developer</t>
  </si>
  <si>
    <t>0 - 1 years</t>
  </si>
  <si>
    <t>Applied(naukari)</t>
  </si>
  <si>
    <t>ZedBee Technologies</t>
  </si>
  <si>
    <t>Tharamani</t>
  </si>
  <si>
    <t>Front End Developer</t>
  </si>
  <si>
    <t>Backend Developer</t>
  </si>
  <si>
    <t>Applied(indeed)</t>
  </si>
  <si>
    <t>Applied(Indeed)</t>
  </si>
  <si>
    <t xml:space="preserve"> </t>
  </si>
  <si>
    <t>https://www.infrabyteconsulting.com/jobs</t>
  </si>
  <si>
    <t>Infrabyte Consulting</t>
  </si>
  <si>
    <t>Uttar Pradesh</t>
  </si>
  <si>
    <t>• career@clinchedge.com</t>
  </si>
  <si>
    <t>https://inficoresoft.com/jobs</t>
  </si>
  <si>
    <t>web developer (INTERN)</t>
  </si>
  <si>
    <t>Inficore Soft</t>
  </si>
  <si>
    <t>Rytsense Technologies</t>
  </si>
  <si>
    <t>https://rytsensetech.com/</t>
  </si>
  <si>
    <t>careers@rytsensetech.com</t>
  </si>
  <si>
    <t>2-4 Years</t>
  </si>
  <si>
    <t>Front-End React and Angular Engineer</t>
  </si>
  <si>
    <t>checked</t>
  </si>
  <si>
    <t>Applied(linkedin)</t>
  </si>
  <si>
    <t>citi</t>
  </si>
  <si>
    <t>Full Stack Developer (React)</t>
  </si>
  <si>
    <t>Gidy.ai </t>
  </si>
  <si>
    <t>Associate Software Engineer</t>
  </si>
  <si>
    <t>cosmic</t>
  </si>
  <si>
    <t>chennai</t>
  </si>
  <si>
    <t>Frontend Developer</t>
  </si>
  <si>
    <t>regami</t>
  </si>
  <si>
    <t>Detect infotech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</si>
</sst>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27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i/>
      <sz val="10"/>
      <color rgb="FFFFFFFF"/>
      <name val="Calibri"/>
      <charset val="1"/>
    </font>
    <font>
      <b/>
      <sz val="11"/>
      <color rgb="FFFFFFFF"/>
      <name val="Calibri"/>
      <charset val="1"/>
    </font>
    <font>
      <sz val="10"/>
      <color rgb="FF000000"/>
      <name val="Calibri"/>
      <charset val="1"/>
    </font>
    <font>
      <b/>
      <sz val="12"/>
      <color rgb="FF1A3C5E"/>
      <name val="Calibri"/>
      <charset val="1"/>
    </font>
    <font>
      <b/>
      <sz val="10"/>
      <color rgb="FF1A3C5E"/>
      <name val="Calibri"/>
      <charset val="1"/>
    </font>
    <font>
      <b/>
      <sz val="20"/>
      <color rgb="FFFFFFFF"/>
      <name val="Calibri"/>
      <charset val="1"/>
    </font>
    <font>
      <sz val="9"/>
      <color rgb="FFFFFFFF"/>
      <name val="Calibri"/>
      <charset val="1"/>
    </font>
    <font>
      <b/>
      <sz val="28"/>
      <color rgb="FFFFFFFF"/>
      <name val="Calibri"/>
      <charset val="1"/>
    </font>
    <font>
      <b/>
      <sz val="9"/>
      <color rgb="FFFFFFFF"/>
      <name val="Calibri"/>
      <charset val="1"/>
    </font>
    <font>
      <b/>
      <sz val="13"/>
      <color rgb="FFFFFFFF"/>
      <name val="Calibri"/>
      <charset val="1"/>
    </font>
    <font>
      <sz val="10"/>
      <color rgb="FF000000"/>
      <name val="Calibri"/>
      <family val="2"/>
    </font>
    <font>
      <sz val="8"/>
      <color rgb="FF474D6A"/>
      <name val="Satoshi"/>
    </font>
    <font>
      <u/>
      <sz val="11"/>
      <color theme="10"/>
      <name val="Calibri"/>
      <family val="2"/>
      <charset val="1"/>
    </font>
    <font>
      <sz val="11"/>
      <color rgb="FF121224"/>
      <name val="Satoshi"/>
    </font>
    <font>
      <sz val="8"/>
      <color rgb="FF1F1F1F"/>
      <name val="Arial"/>
      <family val="2"/>
    </font>
    <font>
      <b/>
      <sz val="10"/>
      <color rgb="FF2D2D2D"/>
      <name val="Calibri"/>
      <family val="2"/>
      <scheme val="minor"/>
    </font>
    <font>
      <sz val="10"/>
      <color rgb="FF1F1F1F"/>
      <name val="Calibri"/>
      <family val="2"/>
      <scheme val="minor"/>
    </font>
    <font>
      <sz val="8"/>
      <color theme="1"/>
      <name val="Segoe UI"/>
      <family val="2"/>
    </font>
    <font>
      <sz val="7"/>
      <color rgb="FF166534"/>
      <name val="Inter"/>
    </font>
    <font>
      <sz val="10"/>
      <color rgb="FF1F2937"/>
      <name val="Calibri"/>
      <family val="2"/>
      <scheme val="minor"/>
    </font>
    <font>
      <sz val="12"/>
      <color rgb="FF0F1632"/>
      <name val="Arial"/>
      <family val="2"/>
    </font>
    <font>
      <sz val="11"/>
      <color rgb="FFFFFFFF"/>
      <name val="Calibri"/>
      <family val="2"/>
    </font>
    <font>
      <sz val="7"/>
      <color rgb="FF767676"/>
      <name val="Arial"/>
      <family val="2"/>
    </font>
    <font>
      <b/>
      <sz val="24"/>
      <color rgb="FF2D2D2D"/>
      <name val="Arial"/>
      <family val="2"/>
    </font>
    <font>
      <sz val="12"/>
      <color theme="1" tint="4.9989318521683403E-2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1A3C5E"/>
        <bgColor rgb="FF333333"/>
      </patternFill>
    </fill>
    <fill>
      <patternFill patternType="solid">
        <fgColor rgb="FF2E86AB"/>
        <bgColor rgb="FF4F81BD"/>
      </patternFill>
    </fill>
    <fill>
      <patternFill patternType="solid">
        <fgColor rgb="FFFFFFFF"/>
        <bgColor rgb="FFF9F9F9"/>
      </patternFill>
    </fill>
    <fill>
      <patternFill patternType="solid">
        <fgColor rgb="FFF4F6F9"/>
        <bgColor rgb="FFF9F9F9"/>
      </patternFill>
    </fill>
    <fill>
      <patternFill patternType="solid">
        <fgColor rgb="FFD5F5E3"/>
        <bgColor rgb="FFD6EAF8"/>
      </patternFill>
    </fill>
    <fill>
      <patternFill patternType="solid">
        <fgColor rgb="FFFADBD8"/>
        <bgColor rgb="FFD9D9D9"/>
      </patternFill>
    </fill>
    <fill>
      <patternFill patternType="solid">
        <fgColor rgb="FFD6EAF8"/>
        <bgColor rgb="FFD5F5E3"/>
      </patternFill>
    </fill>
    <fill>
      <patternFill patternType="solid">
        <fgColor rgb="FFFEF9E7"/>
        <bgColor rgb="FFF9F9F9"/>
      </patternFill>
    </fill>
    <fill>
      <patternFill patternType="solid">
        <fgColor rgb="FFEBF5FB"/>
        <bgColor rgb="FFF4F6F9"/>
      </patternFill>
    </fill>
    <fill>
      <patternFill patternType="solid">
        <fgColor rgb="FF27AE60"/>
        <bgColor rgb="FF1ABC9C"/>
      </patternFill>
    </fill>
    <fill>
      <patternFill patternType="solid">
        <fgColor rgb="FFF39C12"/>
        <bgColor rgb="FFF18F01"/>
      </patternFill>
    </fill>
    <fill>
      <patternFill patternType="solid">
        <fgColor rgb="FFE74C3C"/>
        <bgColor rgb="FFC0504D"/>
      </patternFill>
    </fill>
    <fill>
      <patternFill patternType="solid">
        <fgColor rgb="FF5DADE2"/>
        <bgColor rgb="FF4F81BD"/>
      </patternFill>
    </fill>
    <fill>
      <patternFill patternType="solid">
        <fgColor rgb="FFA569BD"/>
        <bgColor rgb="FF878787"/>
      </patternFill>
    </fill>
    <fill>
      <patternFill patternType="solid">
        <fgColor rgb="FFF18F01"/>
        <bgColor rgb="FFF39C12"/>
      </patternFill>
    </fill>
    <fill>
      <patternFill patternType="solid">
        <fgColor rgb="FF1ABC9C"/>
        <bgColor rgb="FF27AE60"/>
      </patternFill>
    </fill>
  </fills>
  <borders count="3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8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65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6" fillId="8" borderId="1" xfId="0" applyFont="1" applyFill="1" applyBorder="1"/>
    <xf numFmtId="2" fontId="6" fillId="8" borderId="1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4" fillId="5" borderId="1" xfId="0" applyFont="1" applyFill="1" applyBorder="1"/>
    <xf numFmtId="0" fontId="3" fillId="3" borderId="1" xfId="0" applyFont="1" applyFill="1" applyBorder="1"/>
    <xf numFmtId="165" fontId="4" fillId="5" borderId="1" xfId="0" applyNumberFormat="1" applyFont="1" applyFill="1" applyBorder="1"/>
    <xf numFmtId="165" fontId="4" fillId="4" borderId="1" xfId="0" applyNumberFormat="1" applyFont="1" applyFill="1" applyBorder="1"/>
    <xf numFmtId="0" fontId="13" fillId="0" borderId="0" xfId="0" applyFont="1"/>
    <xf numFmtId="0" fontId="14" fillId="0" borderId="0" xfId="1"/>
    <xf numFmtId="0" fontId="12" fillId="9" borderId="1" xfId="0" applyFont="1" applyFill="1" applyBorder="1" applyAlignment="1">
      <alignment horizontal="left" vertical="center"/>
    </xf>
    <xf numFmtId="0" fontId="15" fillId="0" borderId="0" xfId="0" applyFont="1" applyAlignment="1">
      <alignment vertical="center" wrapText="1"/>
    </xf>
    <xf numFmtId="14" fontId="4" fillId="10" borderId="1" xfId="0" applyNumberFormat="1" applyFont="1" applyFill="1" applyBorder="1" applyAlignment="1">
      <alignment horizontal="center" vertical="center"/>
    </xf>
    <xf numFmtId="14" fontId="4" fillId="9" borderId="1" xfId="0" applyNumberFormat="1" applyFont="1" applyFill="1" applyBorder="1" applyAlignment="1">
      <alignment horizontal="left" vertical="center"/>
    </xf>
    <xf numFmtId="0" fontId="16" fillId="0" borderId="0" xfId="0" applyFont="1"/>
    <xf numFmtId="0" fontId="17" fillId="0" borderId="0" xfId="0" applyFont="1" applyAlignment="1">
      <alignment vertical="center" wrapText="1"/>
    </xf>
    <xf numFmtId="0" fontId="18" fillId="0" borderId="0" xfId="0" applyFont="1"/>
    <xf numFmtId="0" fontId="12" fillId="10" borderId="1" xfId="0" applyFont="1" applyFill="1" applyBorder="1" applyAlignment="1">
      <alignment horizontal="left" vertical="center"/>
    </xf>
    <xf numFmtId="0" fontId="12" fillId="6" borderId="1" xfId="0" applyFont="1" applyFill="1" applyBorder="1" applyAlignment="1">
      <alignment horizontal="left" vertical="center"/>
    </xf>
    <xf numFmtId="14" fontId="4" fillId="10" borderId="1" xfId="0" applyNumberFormat="1" applyFont="1" applyFill="1" applyBorder="1" applyAlignment="1">
      <alignment horizontal="left" vertical="center"/>
    </xf>
    <xf numFmtId="14" fontId="4" fillId="6" borderId="1" xfId="0" applyNumberFormat="1" applyFont="1" applyFill="1" applyBorder="1" applyAlignment="1">
      <alignment horizontal="left" vertical="center"/>
    </xf>
    <xf numFmtId="0" fontId="19" fillId="0" borderId="0" xfId="0" applyFont="1"/>
    <xf numFmtId="0" fontId="12" fillId="7" borderId="1" xfId="0" applyFont="1" applyFill="1" applyBorder="1" applyAlignment="1">
      <alignment horizontal="left" vertical="center"/>
    </xf>
    <xf numFmtId="0" fontId="14" fillId="9" borderId="1" xfId="1" applyFill="1" applyBorder="1" applyAlignment="1">
      <alignment horizontal="left" vertical="center"/>
    </xf>
    <xf numFmtId="0" fontId="20" fillId="0" borderId="0" xfId="0" applyFont="1"/>
    <xf numFmtId="0" fontId="21" fillId="0" borderId="0" xfId="0" applyFont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5" fillId="8" borderId="0" xfId="0" applyFont="1" applyFill="1"/>
    <xf numFmtId="0" fontId="11" fillId="2" borderId="0" xfId="0" applyFont="1" applyFill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0" fontId="9" fillId="17" borderId="2" xfId="0" applyFont="1" applyFill="1" applyBorder="1" applyAlignment="1">
      <alignment horizontal="center" vertical="center"/>
    </xf>
    <xf numFmtId="0" fontId="9" fillId="11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10" fillId="14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8" fillId="16" borderId="2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0" fontId="8" fillId="11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14" borderId="2" xfId="0" applyFont="1" applyFill="1" applyBorder="1" applyAlignment="1">
      <alignment horizontal="center" vertical="center"/>
    </xf>
    <xf numFmtId="0" fontId="9" fillId="15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12" borderId="2" xfId="0" applyFont="1" applyFill="1" applyBorder="1" applyAlignment="1">
      <alignment horizontal="center" vertical="center"/>
    </xf>
    <xf numFmtId="0" fontId="8" fillId="13" borderId="2" xfId="0" applyFont="1" applyFill="1" applyBorder="1" applyAlignment="1">
      <alignment horizontal="center" vertical="center"/>
    </xf>
    <xf numFmtId="0" fontId="22" fillId="0" borderId="0" xfId="0" applyFont="1" applyAlignment="1">
      <alignment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0" fillId="0" borderId="0" xfId="0" applyFont="1"/>
    <xf numFmtId="0" fontId="24" fillId="0" borderId="0" xfId="0" applyFont="1"/>
    <xf numFmtId="0" fontId="25" fillId="0" borderId="0" xfId="0" applyFont="1" applyAlignment="1">
      <alignment vertical="center" wrapText="1"/>
    </xf>
    <xf numFmtId="0" fontId="26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9">
    <dxf>
      <font>
        <b/>
        <sz val="10"/>
        <color rgb="FFE74C3C"/>
        <name val="Calibri"/>
        <charset val="1"/>
      </font>
      <fill>
        <patternFill>
          <bgColor rgb="FFFADBD8"/>
        </patternFill>
      </fill>
    </dxf>
    <dxf>
      <font>
        <b/>
        <sz val="10"/>
        <color rgb="FFB7770D"/>
        <name val="Calibri"/>
        <charset val="1"/>
      </font>
      <fill>
        <patternFill>
          <bgColor rgb="FFFEF9E7"/>
        </patternFill>
      </fill>
    </dxf>
    <dxf>
      <font>
        <b/>
        <sz val="10"/>
        <color rgb="FF27AE60"/>
        <name val="Calibri"/>
        <charset val="1"/>
      </font>
      <fill>
        <patternFill>
          <bgColor rgb="FFD5F5E3"/>
        </patternFill>
      </fill>
    </dxf>
    <dxf>
      <font>
        <sz val="10"/>
        <color rgb="FFB7770D"/>
        <name val="Calibri"/>
        <charset val="1"/>
      </font>
      <fill>
        <patternFill>
          <bgColor rgb="FFFEF9E7"/>
        </patternFill>
      </fill>
    </dxf>
    <dxf>
      <font>
        <sz val="10"/>
        <color rgb="FFE74C3C"/>
        <name val="Calibri"/>
        <charset val="1"/>
      </font>
      <fill>
        <patternFill>
          <bgColor rgb="FFFADBD8"/>
        </patternFill>
      </fill>
    </dxf>
    <dxf>
      <font>
        <sz val="10"/>
        <color rgb="FF27AE60"/>
        <name val="Calibri"/>
        <charset val="1"/>
      </font>
      <fill>
        <patternFill>
          <bgColor rgb="FFD5F5E3"/>
        </patternFill>
      </fill>
    </dxf>
    <dxf>
      <font>
        <b/>
        <sz val="10"/>
        <color rgb="FFE74C3C"/>
        <name val="Calibri"/>
        <charset val="1"/>
      </font>
      <fill>
        <patternFill>
          <bgColor rgb="FFFADBD8"/>
        </patternFill>
      </fill>
    </dxf>
    <dxf>
      <font>
        <b/>
        <sz val="10"/>
        <color rgb="FFB7770D"/>
        <name val="Calibri"/>
        <charset val="1"/>
      </font>
      <fill>
        <patternFill>
          <bgColor rgb="FFFEF9E7"/>
        </patternFill>
      </fill>
    </dxf>
    <dxf>
      <font>
        <b/>
        <sz val="10"/>
        <color rgb="FF27AE60"/>
        <name val="Calibri"/>
        <charset val="1"/>
      </font>
      <fill>
        <patternFill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770D"/>
      <rgbColor rgb="FF800080"/>
      <rgbColor rgb="FF2E86AB"/>
      <rgbColor rgb="FFBDC3C7"/>
      <rgbColor rgb="FF878787"/>
      <rgbColor rgb="FF5DADE2"/>
      <rgbColor rgb="FFC0504D"/>
      <rgbColor rgb="FFFEF9E7"/>
      <rgbColor rgb="FFD6EAF8"/>
      <rgbColor rgb="FF660066"/>
      <rgbColor rgb="FFF18F01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D5F5E3"/>
      <rgbColor rgb="FFF9F9F9"/>
      <rgbColor rgb="FFF4F6F9"/>
      <rgbColor rgb="FFFF99CC"/>
      <rgbColor rgb="FFCC99FF"/>
      <rgbColor rgb="FFFADBD8"/>
      <rgbColor rgb="FF3366FF"/>
      <rgbColor rgb="FF1ABC9C"/>
      <rgbColor rgb="FF9BBB59"/>
      <rgbColor rgb="FFFFCC00"/>
      <rgbColor rgb="FFF39C12"/>
      <rgbColor rgb="FFE74C3C"/>
      <rgbColor rgb="FF4F81BD"/>
      <rgbColor rgb="FFA569BD"/>
      <rgbColor rgb="FF1A3C5E"/>
      <rgbColor rgb="FF27AE6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Student Readiness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1858-4E69-9A27-B7C1FC8A42F3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1858-4E69-9A27-B7C1FC8A42F3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1858-4E69-9A27-B7C1FC8A42F3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858-4E69-9A27-B7C1FC8A42F3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858-4E69-9A27-B7C1FC8A42F3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858-4E69-9A27-B7C1FC8A42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Dashboard!$A$18:$A$20</c:f>
              <c:strCache>
                <c:ptCount val="3"/>
                <c:pt idx="0">
                  <c:v>Ready</c:v>
                </c:pt>
                <c:pt idx="1">
                  <c:v>Need Improvement</c:v>
                </c:pt>
                <c:pt idx="2">
                  <c:v>Not Ready</c:v>
                </c:pt>
              </c:strCache>
            </c:strRef>
          </c:cat>
          <c:val>
            <c:numRef>
              <c:f>Dashboard!$B$18:$B$20</c:f>
              <c:numCache>
                <c:formatCode>General</c:formatCode>
                <c:ptCount val="3"/>
                <c:pt idx="0">
                  <c:v>1</c:v>
                </c:pt>
                <c:pt idx="1">
                  <c:v>29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858-4E69-9A27-B7C1FC8A4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Application Funnel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Dashboard!$J$17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Dashboard!$I$18:$I$22</c:f>
              <c:strCache>
                <c:ptCount val="5"/>
                <c:pt idx="0">
                  <c:v>Applied</c:v>
                </c:pt>
                <c:pt idx="1">
                  <c:v>Shortlisted</c:v>
                </c:pt>
                <c:pt idx="2">
                  <c:v>Interview Scheduled</c:v>
                </c:pt>
                <c:pt idx="3">
                  <c:v>Selected</c:v>
                </c:pt>
                <c:pt idx="4">
                  <c:v>Rejected</c:v>
                </c:pt>
              </c:strCache>
            </c:strRef>
          </c:cat>
          <c:val>
            <c:numRef>
              <c:f>Dashboard!$J$18:$J$22</c:f>
              <c:numCache>
                <c:formatCode>General</c:formatCode>
                <c:ptCount val="5"/>
                <c:pt idx="0">
                  <c:v>15</c:v>
                </c:pt>
                <c:pt idx="1">
                  <c:v>12</c:v>
                </c:pt>
                <c:pt idx="2">
                  <c:v>14</c:v>
                </c:pt>
                <c:pt idx="3">
                  <c:v>10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B0-44FD-A426-4141A8EA08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478147"/>
        <c:axId val="91307577"/>
      </c:barChart>
      <c:catAx>
        <c:axId val="534781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Stage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307577"/>
        <c:crosses val="autoZero"/>
        <c:auto val="1"/>
        <c:lblAlgn val="ctr"/>
        <c:lblOffset val="100"/>
        <c:noMultiLvlLbl val="0"/>
      </c:catAx>
      <c:valAx>
        <c:axId val="913075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34781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Avg Mock Score by Subject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Dashboard!$B$36</c:f>
              <c:strCache>
                <c:ptCount val="1"/>
                <c:pt idx="0">
                  <c:v>Avg Score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Dashboard!$A$37:$A$44</c:f>
              <c:strCache>
                <c:ptCount val="8"/>
                <c:pt idx="0">
                  <c:v>HTML</c:v>
                </c:pt>
                <c:pt idx="1">
                  <c:v>CSS</c:v>
                </c:pt>
                <c:pt idx="2">
                  <c:v>JavaScript</c:v>
                </c:pt>
                <c:pt idx="3">
                  <c:v>React</c:v>
                </c:pt>
                <c:pt idx="4">
                  <c:v>Node.js</c:v>
                </c:pt>
                <c:pt idx="5">
                  <c:v>MongoDB</c:v>
                </c:pt>
                <c:pt idx="6">
                  <c:v>Communication</c:v>
                </c:pt>
                <c:pt idx="7">
                  <c:v>HR Round</c:v>
                </c:pt>
              </c:strCache>
            </c:strRef>
          </c:cat>
          <c:val>
            <c:numRef>
              <c:f>Dashboard!$B$37:$B$44</c:f>
              <c:numCache>
                <c:formatCode>0.0</c:formatCode>
                <c:ptCount val="8"/>
                <c:pt idx="0">
                  <c:v>74.63333333333334</c:v>
                </c:pt>
                <c:pt idx="1">
                  <c:v>72.066666666666663</c:v>
                </c:pt>
                <c:pt idx="2">
                  <c:v>74.433333333333337</c:v>
                </c:pt>
                <c:pt idx="3">
                  <c:v>74.13333333333334</c:v>
                </c:pt>
                <c:pt idx="4">
                  <c:v>72.099999999999994</c:v>
                </c:pt>
                <c:pt idx="5">
                  <c:v>78.3</c:v>
                </c:pt>
                <c:pt idx="6">
                  <c:v>73.666666666666671</c:v>
                </c:pt>
                <c:pt idx="7">
                  <c:v>76.833333333333329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D2-43E7-A860-527CDF397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173512"/>
        <c:axId val="26941384"/>
      </c:barChart>
      <c:catAx>
        <c:axId val="9917351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Avg Score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941384"/>
        <c:crosses val="autoZero"/>
        <c:auto val="1"/>
        <c:lblAlgn val="ctr"/>
        <c:lblOffset val="100"/>
        <c:noMultiLvlLbl val="0"/>
      </c:catAx>
      <c:valAx>
        <c:axId val="2694138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Subject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91735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21</xdr:row>
      <xdr:rowOff>0</xdr:rowOff>
    </xdr:from>
    <xdr:to>
      <xdr:col>5</xdr:col>
      <xdr:colOff>105840</xdr:colOff>
      <xdr:row>39</xdr:row>
      <xdr:rowOff>8640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825840</xdr:colOff>
      <xdr:row>39</xdr:row>
      <xdr:rowOff>8640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0</xdr:colOff>
      <xdr:row>35</xdr:row>
      <xdr:rowOff>0</xdr:rowOff>
    </xdr:from>
    <xdr:to>
      <xdr:col>13</xdr:col>
      <xdr:colOff>211680</xdr:colOff>
      <xdr:row>57</xdr:row>
      <xdr:rowOff>128880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rytsensetech.com/" TargetMode="External"/><Relationship Id="rId2" Type="http://schemas.openxmlformats.org/officeDocument/2006/relationships/hyperlink" Target="mailto:career@clinchedge.com" TargetMode="External"/><Relationship Id="rId1" Type="http://schemas.openxmlformats.org/officeDocument/2006/relationships/hyperlink" Target="https://www.naukri.com/smartronic-technical-solution-chennai-jobs-careers-5355130?src=jddesktop" TargetMode="External"/><Relationship Id="rId5" Type="http://schemas.openxmlformats.org/officeDocument/2006/relationships/hyperlink" Target="mailto:careers@rytsensetech.com" TargetMode="External"/><Relationship Id="rId4" Type="http://schemas.openxmlformats.org/officeDocument/2006/relationships/hyperlink" Target="https://rytsensetech.com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3"/>
  <sheetViews>
    <sheetView zoomScaleNormal="100" workbookViewId="0">
      <pane ySplit="3" topLeftCell="A4" activePane="bottomLeft" state="frozen"/>
      <selection pane="bottomLeft"/>
    </sheetView>
  </sheetViews>
  <sheetFormatPr defaultColWidth="8.6640625" defaultRowHeight="14.4"/>
  <cols>
    <col min="1" max="1" width="12" customWidth="1"/>
    <col min="2" max="2" width="22" customWidth="1"/>
    <col min="3" max="3" width="14" customWidth="1"/>
    <col min="4" max="4" width="30" customWidth="1"/>
    <col min="5" max="5" width="10" customWidth="1"/>
    <col min="6" max="7" width="13" customWidth="1"/>
    <col min="8" max="9" width="9" customWidth="1"/>
    <col min="10" max="10" width="11" customWidth="1"/>
    <col min="11" max="11" width="9" customWidth="1"/>
    <col min="12" max="13" width="10" customWidth="1"/>
    <col min="14" max="14" width="15" customWidth="1"/>
    <col min="15" max="18" width="11" customWidth="1"/>
    <col min="19" max="20" width="14" customWidth="1"/>
  </cols>
  <sheetData>
    <row r="1" spans="1:20" ht="45" customHeight="1">
      <c r="A1" s="45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</row>
    <row r="2" spans="1:20" ht="21.75" customHeight="1">
      <c r="A2" s="46" t="s">
        <v>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</row>
    <row r="3" spans="1:20" ht="36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  <c r="T3" s="1" t="s">
        <v>21</v>
      </c>
    </row>
    <row r="4" spans="1:20">
      <c r="A4" s="2" t="s">
        <v>22</v>
      </c>
      <c r="B4" s="2" t="s">
        <v>23</v>
      </c>
      <c r="C4" s="2" t="s">
        <v>24</v>
      </c>
      <c r="D4" s="2" t="s">
        <v>25</v>
      </c>
      <c r="E4" s="2" t="s">
        <v>26</v>
      </c>
      <c r="F4" s="2" t="s">
        <v>27</v>
      </c>
      <c r="G4" s="2" t="s">
        <v>28</v>
      </c>
      <c r="H4" s="2">
        <v>8</v>
      </c>
      <c r="I4" s="2">
        <v>10</v>
      </c>
      <c r="J4" s="2">
        <v>9</v>
      </c>
      <c r="K4" s="2">
        <v>6</v>
      </c>
      <c r="L4" s="2">
        <v>7</v>
      </c>
      <c r="M4" s="2">
        <v>6</v>
      </c>
      <c r="N4" s="2">
        <v>5</v>
      </c>
      <c r="O4" s="2" t="s">
        <v>29</v>
      </c>
      <c r="P4" s="2" t="s">
        <v>29</v>
      </c>
      <c r="Q4" s="2" t="s">
        <v>30</v>
      </c>
      <c r="R4" s="2">
        <v>5</v>
      </c>
      <c r="S4" s="2">
        <v>55</v>
      </c>
      <c r="T4" s="2" t="str">
        <f t="shared" ref="T4:T33" si="0">IF(AVERAGE(H4:N4)&gt;=7.5,IF(O4="Complete",IF(P4="Complete",IF(Q4="Complete","Ready","Need Improvement"),"Need Improvement"),"Need Improvement"),IF(AVERAGE(H4:N4)&gt;=5,"Need Improvement","Not Ready"))</f>
        <v>Need Improvement</v>
      </c>
    </row>
    <row r="5" spans="1:20">
      <c r="A5" s="3" t="s">
        <v>31</v>
      </c>
      <c r="B5" s="3" t="s">
        <v>32</v>
      </c>
      <c r="C5" s="3" t="s">
        <v>33</v>
      </c>
      <c r="D5" s="3" t="s">
        <v>34</v>
      </c>
      <c r="E5" s="3" t="s">
        <v>35</v>
      </c>
      <c r="F5" s="3" t="s">
        <v>27</v>
      </c>
      <c r="G5" s="3" t="s">
        <v>36</v>
      </c>
      <c r="H5" s="3">
        <v>10</v>
      </c>
      <c r="I5" s="3">
        <v>5</v>
      </c>
      <c r="J5" s="3">
        <v>10</v>
      </c>
      <c r="K5" s="3">
        <v>9</v>
      </c>
      <c r="L5" s="3">
        <v>10</v>
      </c>
      <c r="M5" s="3">
        <v>8</v>
      </c>
      <c r="N5" s="3">
        <v>9</v>
      </c>
      <c r="O5" s="3" t="s">
        <v>29</v>
      </c>
      <c r="P5" s="3" t="s">
        <v>29</v>
      </c>
      <c r="Q5" s="3" t="s">
        <v>29</v>
      </c>
      <c r="R5" s="3">
        <v>6</v>
      </c>
      <c r="S5" s="3">
        <v>70</v>
      </c>
      <c r="T5" s="3" t="str">
        <f t="shared" si="0"/>
        <v>Need Improvement</v>
      </c>
    </row>
    <row r="6" spans="1:20">
      <c r="A6" s="2" t="s">
        <v>37</v>
      </c>
      <c r="B6" s="2" t="s">
        <v>38</v>
      </c>
      <c r="C6" s="2" t="s">
        <v>39</v>
      </c>
      <c r="D6" s="2" t="s">
        <v>40</v>
      </c>
      <c r="E6" s="2" t="s">
        <v>41</v>
      </c>
      <c r="F6" s="2" t="s">
        <v>27</v>
      </c>
      <c r="G6" s="2" t="s">
        <v>42</v>
      </c>
      <c r="H6" s="2">
        <v>8</v>
      </c>
      <c r="I6" s="2">
        <v>6</v>
      </c>
      <c r="J6" s="2">
        <v>8</v>
      </c>
      <c r="K6" s="2">
        <v>10</v>
      </c>
      <c r="L6" s="2">
        <v>8</v>
      </c>
      <c r="M6" s="2">
        <v>5</v>
      </c>
      <c r="N6" s="2">
        <v>9</v>
      </c>
      <c r="O6" s="2" t="s">
        <v>30</v>
      </c>
      <c r="P6" s="2" t="s">
        <v>30</v>
      </c>
      <c r="Q6" s="2" t="s">
        <v>29</v>
      </c>
      <c r="R6" s="2">
        <v>3</v>
      </c>
      <c r="S6" s="2">
        <v>72</v>
      </c>
      <c r="T6" s="2" t="str">
        <f t="shared" si="0"/>
        <v>Need Improvement</v>
      </c>
    </row>
    <row r="7" spans="1:20">
      <c r="A7" s="3" t="s">
        <v>43</v>
      </c>
      <c r="B7" s="3" t="s">
        <v>44</v>
      </c>
      <c r="C7" s="3" t="s">
        <v>45</v>
      </c>
      <c r="D7" s="3" t="s">
        <v>46</v>
      </c>
      <c r="E7" s="3" t="s">
        <v>26</v>
      </c>
      <c r="F7" s="3" t="s">
        <v>27</v>
      </c>
      <c r="G7" s="3" t="s">
        <v>47</v>
      </c>
      <c r="H7" s="3">
        <v>5</v>
      </c>
      <c r="I7" s="3">
        <v>5</v>
      </c>
      <c r="J7" s="3">
        <v>8</v>
      </c>
      <c r="K7" s="3">
        <v>6</v>
      </c>
      <c r="L7" s="3">
        <v>8</v>
      </c>
      <c r="M7" s="3">
        <v>5</v>
      </c>
      <c r="N7" s="3">
        <v>9</v>
      </c>
      <c r="O7" s="3" t="s">
        <v>29</v>
      </c>
      <c r="P7" s="3" t="s">
        <v>29</v>
      </c>
      <c r="Q7" s="3" t="s">
        <v>30</v>
      </c>
      <c r="R7" s="3">
        <v>4</v>
      </c>
      <c r="S7" s="3">
        <v>57</v>
      </c>
      <c r="T7" s="3" t="str">
        <f t="shared" si="0"/>
        <v>Need Improvement</v>
      </c>
    </row>
    <row r="8" spans="1:20">
      <c r="A8" s="2" t="s">
        <v>48</v>
      </c>
      <c r="B8" s="2" t="s">
        <v>49</v>
      </c>
      <c r="C8" s="2" t="s">
        <v>50</v>
      </c>
      <c r="D8" s="2" t="s">
        <v>51</v>
      </c>
      <c r="E8" s="2" t="s">
        <v>35</v>
      </c>
      <c r="F8" s="2" t="s">
        <v>27</v>
      </c>
      <c r="G8" s="2" t="s">
        <v>52</v>
      </c>
      <c r="H8" s="2">
        <v>7</v>
      </c>
      <c r="I8" s="2">
        <v>10</v>
      </c>
      <c r="J8" s="2">
        <v>5</v>
      </c>
      <c r="K8" s="2">
        <v>5</v>
      </c>
      <c r="L8" s="2">
        <v>5</v>
      </c>
      <c r="M8" s="2">
        <v>6</v>
      </c>
      <c r="N8" s="2">
        <v>7</v>
      </c>
      <c r="O8" s="2" t="s">
        <v>29</v>
      </c>
      <c r="P8" s="2" t="s">
        <v>29</v>
      </c>
      <c r="Q8" s="2" t="s">
        <v>29</v>
      </c>
      <c r="R8" s="2">
        <v>6</v>
      </c>
      <c r="S8" s="2">
        <v>93</v>
      </c>
      <c r="T8" s="2" t="str">
        <f t="shared" si="0"/>
        <v>Need Improvement</v>
      </c>
    </row>
    <row r="9" spans="1:20">
      <c r="A9" s="3" t="s">
        <v>53</v>
      </c>
      <c r="B9" s="3" t="s">
        <v>54</v>
      </c>
      <c r="C9" s="3" t="s">
        <v>55</v>
      </c>
      <c r="D9" s="3" t="s">
        <v>56</v>
      </c>
      <c r="E9" s="3" t="s">
        <v>41</v>
      </c>
      <c r="F9" s="3" t="s">
        <v>27</v>
      </c>
      <c r="G9" s="3" t="s">
        <v>28</v>
      </c>
      <c r="H9" s="3">
        <v>5</v>
      </c>
      <c r="I9" s="3">
        <v>9</v>
      </c>
      <c r="J9" s="3">
        <v>6</v>
      </c>
      <c r="K9" s="3">
        <v>5</v>
      </c>
      <c r="L9" s="3">
        <v>5</v>
      </c>
      <c r="M9" s="3">
        <v>5</v>
      </c>
      <c r="N9" s="3">
        <v>7</v>
      </c>
      <c r="O9" s="3" t="s">
        <v>29</v>
      </c>
      <c r="P9" s="3" t="s">
        <v>29</v>
      </c>
      <c r="Q9" s="3" t="s">
        <v>29</v>
      </c>
      <c r="R9" s="3">
        <v>4</v>
      </c>
      <c r="S9" s="3">
        <v>65</v>
      </c>
      <c r="T9" s="3" t="str">
        <f t="shared" si="0"/>
        <v>Need Improvement</v>
      </c>
    </row>
    <row r="10" spans="1:20">
      <c r="A10" s="2" t="s">
        <v>57</v>
      </c>
      <c r="B10" s="2" t="s">
        <v>58</v>
      </c>
      <c r="C10" s="2" t="s">
        <v>59</v>
      </c>
      <c r="D10" s="2" t="s">
        <v>60</v>
      </c>
      <c r="E10" s="2" t="s">
        <v>26</v>
      </c>
      <c r="F10" s="2" t="s">
        <v>27</v>
      </c>
      <c r="G10" s="2" t="s">
        <v>36</v>
      </c>
      <c r="H10" s="2">
        <v>10</v>
      </c>
      <c r="I10" s="2">
        <v>8</v>
      </c>
      <c r="J10" s="2">
        <v>8</v>
      </c>
      <c r="K10" s="2">
        <v>8</v>
      </c>
      <c r="L10" s="2">
        <v>8</v>
      </c>
      <c r="M10" s="2">
        <v>9</v>
      </c>
      <c r="N10" s="2">
        <v>6</v>
      </c>
      <c r="O10" s="2" t="s">
        <v>30</v>
      </c>
      <c r="P10" s="2" t="s">
        <v>30</v>
      </c>
      <c r="Q10" s="2" t="s">
        <v>29</v>
      </c>
      <c r="R10" s="2">
        <v>2</v>
      </c>
      <c r="S10" s="2">
        <v>68</v>
      </c>
      <c r="T10" s="2" t="str">
        <f t="shared" si="0"/>
        <v>Need Improvement</v>
      </c>
    </row>
    <row r="11" spans="1:20">
      <c r="A11" s="3" t="s">
        <v>61</v>
      </c>
      <c r="B11" s="3" t="s">
        <v>62</v>
      </c>
      <c r="C11" s="3" t="s">
        <v>63</v>
      </c>
      <c r="D11" s="3" t="s">
        <v>64</v>
      </c>
      <c r="E11" s="3" t="s">
        <v>35</v>
      </c>
      <c r="F11" s="3" t="s">
        <v>27</v>
      </c>
      <c r="G11" s="3" t="s">
        <v>42</v>
      </c>
      <c r="H11" s="3">
        <v>6</v>
      </c>
      <c r="I11" s="3">
        <v>10</v>
      </c>
      <c r="J11" s="3">
        <v>6</v>
      </c>
      <c r="K11" s="3">
        <v>7</v>
      </c>
      <c r="L11" s="3">
        <v>6</v>
      </c>
      <c r="M11" s="3">
        <v>5</v>
      </c>
      <c r="N11" s="3">
        <v>9</v>
      </c>
      <c r="O11" s="3" t="s">
        <v>30</v>
      </c>
      <c r="P11" s="3" t="s">
        <v>30</v>
      </c>
      <c r="Q11" s="3" t="s">
        <v>30</v>
      </c>
      <c r="R11" s="3">
        <v>2</v>
      </c>
      <c r="S11" s="3">
        <v>64</v>
      </c>
      <c r="T11" s="3" t="str">
        <f t="shared" si="0"/>
        <v>Need Improvement</v>
      </c>
    </row>
    <row r="12" spans="1:20">
      <c r="A12" s="2" t="s">
        <v>65</v>
      </c>
      <c r="B12" s="2" t="s">
        <v>66</v>
      </c>
      <c r="C12" s="2" t="s">
        <v>67</v>
      </c>
      <c r="D12" s="2" t="s">
        <v>68</v>
      </c>
      <c r="E12" s="2" t="s">
        <v>41</v>
      </c>
      <c r="F12" s="2" t="s">
        <v>27</v>
      </c>
      <c r="G12" s="2" t="s">
        <v>47</v>
      </c>
      <c r="H12" s="2">
        <v>6</v>
      </c>
      <c r="I12" s="2">
        <v>8</v>
      </c>
      <c r="J12" s="2">
        <v>5</v>
      </c>
      <c r="K12" s="2">
        <v>6</v>
      </c>
      <c r="L12" s="2">
        <v>5</v>
      </c>
      <c r="M12" s="2">
        <v>8</v>
      </c>
      <c r="N12" s="2">
        <v>7</v>
      </c>
      <c r="O12" s="2" t="s">
        <v>29</v>
      </c>
      <c r="P12" s="2" t="s">
        <v>29</v>
      </c>
      <c r="Q12" s="2" t="s">
        <v>30</v>
      </c>
      <c r="R12" s="2">
        <v>5</v>
      </c>
      <c r="S12" s="2">
        <v>54</v>
      </c>
      <c r="T12" s="2" t="str">
        <f t="shared" si="0"/>
        <v>Need Improvement</v>
      </c>
    </row>
    <row r="13" spans="1:20">
      <c r="A13" s="3" t="s">
        <v>69</v>
      </c>
      <c r="B13" s="3" t="s">
        <v>70</v>
      </c>
      <c r="C13" s="3" t="s">
        <v>71</v>
      </c>
      <c r="D13" s="3" t="s">
        <v>72</v>
      </c>
      <c r="E13" s="3" t="s">
        <v>26</v>
      </c>
      <c r="F13" s="3" t="s">
        <v>27</v>
      </c>
      <c r="G13" s="3" t="s">
        <v>52</v>
      </c>
      <c r="H13" s="3">
        <v>6</v>
      </c>
      <c r="I13" s="3">
        <v>5</v>
      </c>
      <c r="J13" s="3">
        <v>6</v>
      </c>
      <c r="K13" s="3">
        <v>9</v>
      </c>
      <c r="L13" s="3">
        <v>8</v>
      </c>
      <c r="M13" s="3">
        <v>6</v>
      </c>
      <c r="N13" s="3">
        <v>5</v>
      </c>
      <c r="O13" s="3" t="s">
        <v>30</v>
      </c>
      <c r="P13" s="3" t="s">
        <v>29</v>
      </c>
      <c r="Q13" s="3" t="s">
        <v>30</v>
      </c>
      <c r="R13" s="3">
        <v>4</v>
      </c>
      <c r="S13" s="3">
        <v>54</v>
      </c>
      <c r="T13" s="3" t="str">
        <f t="shared" si="0"/>
        <v>Need Improvement</v>
      </c>
    </row>
    <row r="14" spans="1:20">
      <c r="A14" s="2" t="s">
        <v>73</v>
      </c>
      <c r="B14" s="2" t="s">
        <v>74</v>
      </c>
      <c r="C14" s="2" t="s">
        <v>75</v>
      </c>
      <c r="D14" s="2" t="s">
        <v>76</v>
      </c>
      <c r="E14" s="2" t="s">
        <v>35</v>
      </c>
      <c r="F14" s="2" t="s">
        <v>27</v>
      </c>
      <c r="G14" s="2" t="s">
        <v>28</v>
      </c>
      <c r="H14" s="2">
        <v>5</v>
      </c>
      <c r="I14" s="2">
        <v>9</v>
      </c>
      <c r="J14" s="2">
        <v>5</v>
      </c>
      <c r="K14" s="2">
        <v>6</v>
      </c>
      <c r="L14" s="2">
        <v>7</v>
      </c>
      <c r="M14" s="2">
        <v>9</v>
      </c>
      <c r="N14" s="2">
        <v>7</v>
      </c>
      <c r="O14" s="2" t="s">
        <v>29</v>
      </c>
      <c r="P14" s="2" t="s">
        <v>30</v>
      </c>
      <c r="Q14" s="2" t="s">
        <v>29</v>
      </c>
      <c r="R14" s="2">
        <v>3</v>
      </c>
      <c r="S14" s="2">
        <v>89</v>
      </c>
      <c r="T14" s="2" t="str">
        <f t="shared" si="0"/>
        <v>Need Improvement</v>
      </c>
    </row>
    <row r="15" spans="1:20">
      <c r="A15" s="3" t="s">
        <v>77</v>
      </c>
      <c r="B15" s="3" t="s">
        <v>78</v>
      </c>
      <c r="C15" s="3" t="s">
        <v>79</v>
      </c>
      <c r="D15" s="3" t="s">
        <v>80</v>
      </c>
      <c r="E15" s="3" t="s">
        <v>41</v>
      </c>
      <c r="F15" s="3" t="s">
        <v>27</v>
      </c>
      <c r="G15" s="3" t="s">
        <v>36</v>
      </c>
      <c r="H15" s="3">
        <v>7</v>
      </c>
      <c r="I15" s="3">
        <v>10</v>
      </c>
      <c r="J15" s="3">
        <v>10</v>
      </c>
      <c r="K15" s="3">
        <v>8</v>
      </c>
      <c r="L15" s="3">
        <v>8</v>
      </c>
      <c r="M15" s="3">
        <v>8</v>
      </c>
      <c r="N15" s="3">
        <v>10</v>
      </c>
      <c r="O15" s="3" t="s">
        <v>29</v>
      </c>
      <c r="P15" s="3" t="s">
        <v>29</v>
      </c>
      <c r="Q15" s="3" t="s">
        <v>30</v>
      </c>
      <c r="R15" s="3">
        <v>2</v>
      </c>
      <c r="S15" s="3">
        <v>92</v>
      </c>
      <c r="T15" s="3" t="str">
        <f t="shared" si="0"/>
        <v>Need Improvement</v>
      </c>
    </row>
    <row r="16" spans="1:20">
      <c r="A16" s="2" t="s">
        <v>81</v>
      </c>
      <c r="B16" s="2" t="s">
        <v>82</v>
      </c>
      <c r="C16" s="2" t="s">
        <v>83</v>
      </c>
      <c r="D16" s="2" t="s">
        <v>84</v>
      </c>
      <c r="E16" s="2" t="s">
        <v>26</v>
      </c>
      <c r="F16" s="2" t="s">
        <v>27</v>
      </c>
      <c r="G16" s="2" t="s">
        <v>42</v>
      </c>
      <c r="H16" s="2">
        <v>8</v>
      </c>
      <c r="I16" s="2">
        <v>5</v>
      </c>
      <c r="J16" s="2">
        <v>5</v>
      </c>
      <c r="K16" s="2">
        <v>6</v>
      </c>
      <c r="L16" s="2">
        <v>9</v>
      </c>
      <c r="M16" s="2">
        <v>5</v>
      </c>
      <c r="N16" s="2">
        <v>6</v>
      </c>
      <c r="O16" s="2" t="s">
        <v>30</v>
      </c>
      <c r="P16" s="2" t="s">
        <v>29</v>
      </c>
      <c r="Q16" s="2" t="s">
        <v>29</v>
      </c>
      <c r="R16" s="2">
        <v>3</v>
      </c>
      <c r="S16" s="2">
        <v>51</v>
      </c>
      <c r="T16" s="2" t="str">
        <f t="shared" si="0"/>
        <v>Need Improvement</v>
      </c>
    </row>
    <row r="17" spans="1:20">
      <c r="A17" s="3" t="s">
        <v>85</v>
      </c>
      <c r="B17" s="3" t="s">
        <v>86</v>
      </c>
      <c r="C17" s="3" t="s">
        <v>87</v>
      </c>
      <c r="D17" s="3" t="s">
        <v>88</v>
      </c>
      <c r="E17" s="3" t="s">
        <v>35</v>
      </c>
      <c r="F17" s="3" t="s">
        <v>27</v>
      </c>
      <c r="G17" s="3" t="s">
        <v>47</v>
      </c>
      <c r="H17" s="3">
        <v>7</v>
      </c>
      <c r="I17" s="3">
        <v>9</v>
      </c>
      <c r="J17" s="3">
        <v>10</v>
      </c>
      <c r="K17" s="3">
        <v>10</v>
      </c>
      <c r="L17" s="3">
        <v>5</v>
      </c>
      <c r="M17" s="3">
        <v>6</v>
      </c>
      <c r="N17" s="3">
        <v>8</v>
      </c>
      <c r="O17" s="3" t="s">
        <v>29</v>
      </c>
      <c r="P17" s="3" t="s">
        <v>30</v>
      </c>
      <c r="Q17" s="3" t="s">
        <v>29</v>
      </c>
      <c r="R17" s="3">
        <v>4</v>
      </c>
      <c r="S17" s="3">
        <v>78</v>
      </c>
      <c r="T17" s="3" t="str">
        <f t="shared" si="0"/>
        <v>Need Improvement</v>
      </c>
    </row>
    <row r="18" spans="1:20">
      <c r="A18" s="2" t="s">
        <v>89</v>
      </c>
      <c r="B18" s="2" t="s">
        <v>90</v>
      </c>
      <c r="C18" s="2" t="s">
        <v>91</v>
      </c>
      <c r="D18" s="2" t="s">
        <v>92</v>
      </c>
      <c r="E18" s="2" t="s">
        <v>41</v>
      </c>
      <c r="F18" s="2" t="s">
        <v>27</v>
      </c>
      <c r="G18" s="2" t="s">
        <v>52</v>
      </c>
      <c r="H18" s="2">
        <v>9</v>
      </c>
      <c r="I18" s="2">
        <v>5</v>
      </c>
      <c r="J18" s="2">
        <v>6</v>
      </c>
      <c r="K18" s="2">
        <v>7</v>
      </c>
      <c r="L18" s="2">
        <v>9</v>
      </c>
      <c r="M18" s="2">
        <v>9</v>
      </c>
      <c r="N18" s="2">
        <v>9</v>
      </c>
      <c r="O18" s="2" t="s">
        <v>30</v>
      </c>
      <c r="P18" s="2" t="s">
        <v>30</v>
      </c>
      <c r="Q18" s="2" t="s">
        <v>30</v>
      </c>
      <c r="R18" s="2">
        <v>4</v>
      </c>
      <c r="S18" s="2">
        <v>92</v>
      </c>
      <c r="T18" s="2" t="str">
        <f t="shared" si="0"/>
        <v>Ready</v>
      </c>
    </row>
    <row r="19" spans="1:20">
      <c r="A19" s="3" t="s">
        <v>93</v>
      </c>
      <c r="B19" s="3" t="s">
        <v>94</v>
      </c>
      <c r="C19" s="3" t="s">
        <v>95</v>
      </c>
      <c r="D19" s="3" t="s">
        <v>96</v>
      </c>
      <c r="E19" s="3" t="s">
        <v>26</v>
      </c>
      <c r="F19" s="3" t="s">
        <v>27</v>
      </c>
      <c r="G19" s="3" t="s">
        <v>28</v>
      </c>
      <c r="H19" s="3">
        <v>5</v>
      </c>
      <c r="I19" s="3">
        <v>8</v>
      </c>
      <c r="J19" s="3">
        <v>10</v>
      </c>
      <c r="K19" s="3">
        <v>5</v>
      </c>
      <c r="L19" s="3">
        <v>5</v>
      </c>
      <c r="M19" s="3">
        <v>5</v>
      </c>
      <c r="N19" s="3">
        <v>5</v>
      </c>
      <c r="O19" s="3" t="s">
        <v>30</v>
      </c>
      <c r="P19" s="3" t="s">
        <v>30</v>
      </c>
      <c r="Q19" s="3" t="s">
        <v>30</v>
      </c>
      <c r="R19" s="3">
        <v>2</v>
      </c>
      <c r="S19" s="3">
        <v>90</v>
      </c>
      <c r="T19" s="3" t="str">
        <f t="shared" si="0"/>
        <v>Need Improvement</v>
      </c>
    </row>
    <row r="20" spans="1:20">
      <c r="A20" s="2" t="s">
        <v>97</v>
      </c>
      <c r="B20" s="2" t="s">
        <v>98</v>
      </c>
      <c r="C20" s="2" t="s">
        <v>99</v>
      </c>
      <c r="D20" s="2" t="s">
        <v>100</v>
      </c>
      <c r="E20" s="2" t="s">
        <v>35</v>
      </c>
      <c r="F20" s="2" t="s">
        <v>27</v>
      </c>
      <c r="G20" s="2" t="s">
        <v>36</v>
      </c>
      <c r="H20" s="2">
        <v>10</v>
      </c>
      <c r="I20" s="2">
        <v>7</v>
      </c>
      <c r="J20" s="2">
        <v>6</v>
      </c>
      <c r="K20" s="2">
        <v>9</v>
      </c>
      <c r="L20" s="2">
        <v>5</v>
      </c>
      <c r="M20" s="2">
        <v>10</v>
      </c>
      <c r="N20" s="2">
        <v>5</v>
      </c>
      <c r="O20" s="2" t="s">
        <v>30</v>
      </c>
      <c r="P20" s="2" t="s">
        <v>30</v>
      </c>
      <c r="Q20" s="2" t="s">
        <v>30</v>
      </c>
      <c r="R20" s="2">
        <v>6</v>
      </c>
      <c r="S20" s="2">
        <v>81</v>
      </c>
      <c r="T20" s="2" t="str">
        <f t="shared" si="0"/>
        <v>Need Improvement</v>
      </c>
    </row>
    <row r="21" spans="1:20">
      <c r="A21" s="3" t="s">
        <v>101</v>
      </c>
      <c r="B21" s="3" t="s">
        <v>102</v>
      </c>
      <c r="C21" s="3" t="s">
        <v>103</v>
      </c>
      <c r="D21" s="3" t="s">
        <v>104</v>
      </c>
      <c r="E21" s="3" t="s">
        <v>41</v>
      </c>
      <c r="F21" s="3" t="s">
        <v>27</v>
      </c>
      <c r="G21" s="3" t="s">
        <v>42</v>
      </c>
      <c r="H21" s="3">
        <v>8</v>
      </c>
      <c r="I21" s="3">
        <v>7</v>
      </c>
      <c r="J21" s="3">
        <v>9</v>
      </c>
      <c r="K21" s="3">
        <v>9</v>
      </c>
      <c r="L21" s="3">
        <v>5</v>
      </c>
      <c r="M21" s="3">
        <v>6</v>
      </c>
      <c r="N21" s="3">
        <v>9</v>
      </c>
      <c r="O21" s="3" t="s">
        <v>30</v>
      </c>
      <c r="P21" s="3" t="s">
        <v>29</v>
      </c>
      <c r="Q21" s="3" t="s">
        <v>30</v>
      </c>
      <c r="R21" s="3">
        <v>2</v>
      </c>
      <c r="S21" s="3">
        <v>62</v>
      </c>
      <c r="T21" s="3" t="str">
        <f t="shared" si="0"/>
        <v>Need Improvement</v>
      </c>
    </row>
    <row r="22" spans="1:20">
      <c r="A22" s="2" t="s">
        <v>105</v>
      </c>
      <c r="B22" s="2" t="s">
        <v>106</v>
      </c>
      <c r="C22" s="2" t="s">
        <v>107</v>
      </c>
      <c r="D22" s="2" t="s">
        <v>108</v>
      </c>
      <c r="E22" s="2" t="s">
        <v>26</v>
      </c>
      <c r="F22" s="2" t="s">
        <v>27</v>
      </c>
      <c r="G22" s="2" t="s">
        <v>47</v>
      </c>
      <c r="H22" s="2">
        <v>9</v>
      </c>
      <c r="I22" s="2">
        <v>9</v>
      </c>
      <c r="J22" s="2">
        <v>9</v>
      </c>
      <c r="K22" s="2">
        <v>7</v>
      </c>
      <c r="L22" s="2">
        <v>7</v>
      </c>
      <c r="M22" s="2">
        <v>5</v>
      </c>
      <c r="N22" s="2">
        <v>6</v>
      </c>
      <c r="O22" s="2" t="s">
        <v>30</v>
      </c>
      <c r="P22" s="2" t="s">
        <v>30</v>
      </c>
      <c r="Q22" s="2" t="s">
        <v>29</v>
      </c>
      <c r="R22" s="2">
        <v>4</v>
      </c>
      <c r="S22" s="2">
        <v>83</v>
      </c>
      <c r="T22" s="2" t="str">
        <f t="shared" si="0"/>
        <v>Need Improvement</v>
      </c>
    </row>
    <row r="23" spans="1:20">
      <c r="A23" s="3" t="s">
        <v>109</v>
      </c>
      <c r="B23" s="3" t="s">
        <v>110</v>
      </c>
      <c r="C23" s="3" t="s">
        <v>111</v>
      </c>
      <c r="D23" s="3" t="s">
        <v>112</v>
      </c>
      <c r="E23" s="3" t="s">
        <v>35</v>
      </c>
      <c r="F23" s="3" t="s">
        <v>27</v>
      </c>
      <c r="G23" s="3" t="s">
        <v>52</v>
      </c>
      <c r="H23" s="3">
        <v>6</v>
      </c>
      <c r="I23" s="3">
        <v>7</v>
      </c>
      <c r="J23" s="3">
        <v>9</v>
      </c>
      <c r="K23" s="3">
        <v>9</v>
      </c>
      <c r="L23" s="3">
        <v>10</v>
      </c>
      <c r="M23" s="3">
        <v>5</v>
      </c>
      <c r="N23" s="3">
        <v>10</v>
      </c>
      <c r="O23" s="3" t="s">
        <v>30</v>
      </c>
      <c r="P23" s="3" t="s">
        <v>29</v>
      </c>
      <c r="Q23" s="3" t="s">
        <v>29</v>
      </c>
      <c r="R23" s="3">
        <v>3</v>
      </c>
      <c r="S23" s="3">
        <v>55</v>
      </c>
      <c r="T23" s="3" t="str">
        <f t="shared" si="0"/>
        <v>Need Improvement</v>
      </c>
    </row>
    <row r="24" spans="1:20">
      <c r="A24" s="2" t="s">
        <v>113</v>
      </c>
      <c r="B24" s="2" t="s">
        <v>114</v>
      </c>
      <c r="C24" s="2" t="s">
        <v>115</v>
      </c>
      <c r="D24" s="2" t="s">
        <v>116</v>
      </c>
      <c r="E24" s="2" t="s">
        <v>41</v>
      </c>
      <c r="F24" s="2" t="s">
        <v>27</v>
      </c>
      <c r="G24" s="2" t="s">
        <v>28</v>
      </c>
      <c r="H24" s="2">
        <v>6</v>
      </c>
      <c r="I24" s="2">
        <v>10</v>
      </c>
      <c r="J24" s="2">
        <v>8</v>
      </c>
      <c r="K24" s="2">
        <v>9</v>
      </c>
      <c r="L24" s="2">
        <v>10</v>
      </c>
      <c r="M24" s="2">
        <v>10</v>
      </c>
      <c r="N24" s="2">
        <v>9</v>
      </c>
      <c r="O24" s="2" t="s">
        <v>29</v>
      </c>
      <c r="P24" s="2" t="s">
        <v>30</v>
      </c>
      <c r="Q24" s="2" t="s">
        <v>29</v>
      </c>
      <c r="R24" s="2">
        <v>3</v>
      </c>
      <c r="S24" s="2">
        <v>94</v>
      </c>
      <c r="T24" s="2" t="str">
        <f t="shared" si="0"/>
        <v>Need Improvement</v>
      </c>
    </row>
    <row r="25" spans="1:20">
      <c r="A25" s="3" t="s">
        <v>117</v>
      </c>
      <c r="B25" s="3" t="s">
        <v>118</v>
      </c>
      <c r="C25" s="3" t="s">
        <v>119</v>
      </c>
      <c r="D25" s="3" t="s">
        <v>120</v>
      </c>
      <c r="E25" s="3" t="s">
        <v>26</v>
      </c>
      <c r="F25" s="3" t="s">
        <v>27</v>
      </c>
      <c r="G25" s="3" t="s">
        <v>36</v>
      </c>
      <c r="H25" s="3">
        <v>6</v>
      </c>
      <c r="I25" s="3">
        <v>7</v>
      </c>
      <c r="J25" s="3">
        <v>8</v>
      </c>
      <c r="K25" s="3">
        <v>9</v>
      </c>
      <c r="L25" s="3">
        <v>10</v>
      </c>
      <c r="M25" s="3">
        <v>8</v>
      </c>
      <c r="N25" s="3">
        <v>9</v>
      </c>
      <c r="O25" s="3" t="s">
        <v>29</v>
      </c>
      <c r="P25" s="3" t="s">
        <v>29</v>
      </c>
      <c r="Q25" s="3" t="s">
        <v>30</v>
      </c>
      <c r="R25" s="3">
        <v>5</v>
      </c>
      <c r="S25" s="3">
        <v>75</v>
      </c>
      <c r="T25" s="3" t="str">
        <f t="shared" si="0"/>
        <v>Need Improvement</v>
      </c>
    </row>
    <row r="26" spans="1:20">
      <c r="A26" s="2" t="s">
        <v>121</v>
      </c>
      <c r="B26" s="2" t="s">
        <v>122</v>
      </c>
      <c r="C26" s="2" t="s">
        <v>123</v>
      </c>
      <c r="D26" s="2" t="s">
        <v>124</v>
      </c>
      <c r="E26" s="2" t="s">
        <v>35</v>
      </c>
      <c r="F26" s="2" t="s">
        <v>27</v>
      </c>
      <c r="G26" s="2" t="s">
        <v>42</v>
      </c>
      <c r="H26" s="2">
        <v>9</v>
      </c>
      <c r="I26" s="2">
        <v>6</v>
      </c>
      <c r="J26" s="2">
        <v>5</v>
      </c>
      <c r="K26" s="2">
        <v>9</v>
      </c>
      <c r="L26" s="2">
        <v>5</v>
      </c>
      <c r="M26" s="2">
        <v>7</v>
      </c>
      <c r="N26" s="2">
        <v>10</v>
      </c>
      <c r="O26" s="2" t="s">
        <v>29</v>
      </c>
      <c r="P26" s="2" t="s">
        <v>30</v>
      </c>
      <c r="Q26" s="2" t="s">
        <v>30</v>
      </c>
      <c r="R26" s="2">
        <v>5</v>
      </c>
      <c r="S26" s="2">
        <v>65</v>
      </c>
      <c r="T26" s="2" t="str">
        <f t="shared" si="0"/>
        <v>Need Improvement</v>
      </c>
    </row>
    <row r="27" spans="1:20">
      <c r="A27" s="3" t="s">
        <v>125</v>
      </c>
      <c r="B27" s="3" t="s">
        <v>126</v>
      </c>
      <c r="C27" s="3" t="s">
        <v>127</v>
      </c>
      <c r="D27" s="3" t="s">
        <v>128</v>
      </c>
      <c r="E27" s="3" t="s">
        <v>41</v>
      </c>
      <c r="F27" s="3" t="s">
        <v>27</v>
      </c>
      <c r="G27" s="3" t="s">
        <v>47</v>
      </c>
      <c r="H27" s="3">
        <v>7</v>
      </c>
      <c r="I27" s="3">
        <v>5</v>
      </c>
      <c r="J27" s="3">
        <v>8</v>
      </c>
      <c r="K27" s="3">
        <v>5</v>
      </c>
      <c r="L27" s="3">
        <v>6</v>
      </c>
      <c r="M27" s="3">
        <v>5</v>
      </c>
      <c r="N27" s="3">
        <v>7</v>
      </c>
      <c r="O27" s="3" t="s">
        <v>29</v>
      </c>
      <c r="P27" s="3" t="s">
        <v>30</v>
      </c>
      <c r="Q27" s="3" t="s">
        <v>29</v>
      </c>
      <c r="R27" s="3">
        <v>2</v>
      </c>
      <c r="S27" s="3">
        <v>54</v>
      </c>
      <c r="T27" s="3" t="str">
        <f t="shared" si="0"/>
        <v>Need Improvement</v>
      </c>
    </row>
    <row r="28" spans="1:20">
      <c r="A28" s="2" t="s">
        <v>129</v>
      </c>
      <c r="B28" s="2" t="s">
        <v>130</v>
      </c>
      <c r="C28" s="2" t="s">
        <v>131</v>
      </c>
      <c r="D28" s="2" t="s">
        <v>132</v>
      </c>
      <c r="E28" s="2" t="s">
        <v>26</v>
      </c>
      <c r="F28" s="2" t="s">
        <v>27</v>
      </c>
      <c r="G28" s="2" t="s">
        <v>52</v>
      </c>
      <c r="H28" s="2">
        <v>8</v>
      </c>
      <c r="I28" s="2">
        <v>8</v>
      </c>
      <c r="J28" s="2">
        <v>9</v>
      </c>
      <c r="K28" s="2">
        <v>10</v>
      </c>
      <c r="L28" s="2">
        <v>6</v>
      </c>
      <c r="M28" s="2">
        <v>9</v>
      </c>
      <c r="N28" s="2">
        <v>6</v>
      </c>
      <c r="O28" s="2" t="s">
        <v>30</v>
      </c>
      <c r="P28" s="2" t="s">
        <v>29</v>
      </c>
      <c r="Q28" s="2" t="s">
        <v>29</v>
      </c>
      <c r="R28" s="2">
        <v>2</v>
      </c>
      <c r="S28" s="2">
        <v>89</v>
      </c>
      <c r="T28" s="2" t="str">
        <f t="shared" si="0"/>
        <v>Need Improvement</v>
      </c>
    </row>
    <row r="29" spans="1:20">
      <c r="A29" s="3" t="s">
        <v>133</v>
      </c>
      <c r="B29" s="3" t="s">
        <v>134</v>
      </c>
      <c r="C29" s="3" t="s">
        <v>135</v>
      </c>
      <c r="D29" s="3" t="s">
        <v>136</v>
      </c>
      <c r="E29" s="3" t="s">
        <v>35</v>
      </c>
      <c r="F29" s="3" t="s">
        <v>27</v>
      </c>
      <c r="G29" s="3" t="s">
        <v>28</v>
      </c>
      <c r="H29" s="3">
        <v>7</v>
      </c>
      <c r="I29" s="3">
        <v>5</v>
      </c>
      <c r="J29" s="3">
        <v>6</v>
      </c>
      <c r="K29" s="3">
        <v>7</v>
      </c>
      <c r="L29" s="3">
        <v>5</v>
      </c>
      <c r="M29" s="3">
        <v>5</v>
      </c>
      <c r="N29" s="3">
        <v>7</v>
      </c>
      <c r="O29" s="3" t="s">
        <v>30</v>
      </c>
      <c r="P29" s="3" t="s">
        <v>30</v>
      </c>
      <c r="Q29" s="3" t="s">
        <v>30</v>
      </c>
      <c r="R29" s="3">
        <v>6</v>
      </c>
      <c r="S29" s="3">
        <v>43</v>
      </c>
      <c r="T29" s="3" t="str">
        <f t="shared" si="0"/>
        <v>Need Improvement</v>
      </c>
    </row>
    <row r="30" spans="1:20">
      <c r="A30" s="2" t="s">
        <v>137</v>
      </c>
      <c r="B30" s="2" t="s">
        <v>138</v>
      </c>
      <c r="C30" s="2" t="s">
        <v>139</v>
      </c>
      <c r="D30" s="2" t="s">
        <v>140</v>
      </c>
      <c r="E30" s="2" t="s">
        <v>41</v>
      </c>
      <c r="F30" s="2" t="s">
        <v>27</v>
      </c>
      <c r="G30" s="2" t="s">
        <v>36</v>
      </c>
      <c r="H30" s="2">
        <v>5</v>
      </c>
      <c r="I30" s="2">
        <v>10</v>
      </c>
      <c r="J30" s="2">
        <v>6</v>
      </c>
      <c r="K30" s="2">
        <v>6</v>
      </c>
      <c r="L30" s="2">
        <v>9</v>
      </c>
      <c r="M30" s="2">
        <v>5</v>
      </c>
      <c r="N30" s="2">
        <v>7</v>
      </c>
      <c r="O30" s="2" t="s">
        <v>30</v>
      </c>
      <c r="P30" s="2" t="s">
        <v>29</v>
      </c>
      <c r="Q30" s="2" t="s">
        <v>30</v>
      </c>
      <c r="R30" s="2">
        <v>4</v>
      </c>
      <c r="S30" s="2">
        <v>51</v>
      </c>
      <c r="T30" s="2" t="str">
        <f t="shared" si="0"/>
        <v>Need Improvement</v>
      </c>
    </row>
    <row r="31" spans="1:20">
      <c r="A31" s="3" t="s">
        <v>141</v>
      </c>
      <c r="B31" s="3" t="s">
        <v>142</v>
      </c>
      <c r="C31" s="3" t="s">
        <v>143</v>
      </c>
      <c r="D31" s="3" t="s">
        <v>144</v>
      </c>
      <c r="E31" s="3" t="s">
        <v>26</v>
      </c>
      <c r="F31" s="3" t="s">
        <v>27</v>
      </c>
      <c r="G31" s="3" t="s">
        <v>42</v>
      </c>
      <c r="H31" s="3">
        <v>8</v>
      </c>
      <c r="I31" s="3">
        <v>5</v>
      </c>
      <c r="J31" s="3">
        <v>10</v>
      </c>
      <c r="K31" s="3">
        <v>6</v>
      </c>
      <c r="L31" s="3">
        <v>5</v>
      </c>
      <c r="M31" s="3">
        <v>5</v>
      </c>
      <c r="N31" s="3">
        <v>6</v>
      </c>
      <c r="O31" s="3" t="s">
        <v>30</v>
      </c>
      <c r="P31" s="3" t="s">
        <v>30</v>
      </c>
      <c r="Q31" s="3" t="s">
        <v>30</v>
      </c>
      <c r="R31" s="3">
        <v>6</v>
      </c>
      <c r="S31" s="3">
        <v>64</v>
      </c>
      <c r="T31" s="3" t="str">
        <f t="shared" si="0"/>
        <v>Need Improvement</v>
      </c>
    </row>
    <row r="32" spans="1:20">
      <c r="A32" s="2" t="s">
        <v>145</v>
      </c>
      <c r="B32" s="2" t="s">
        <v>146</v>
      </c>
      <c r="C32" s="2" t="s">
        <v>147</v>
      </c>
      <c r="D32" s="2" t="s">
        <v>148</v>
      </c>
      <c r="E32" s="2" t="s">
        <v>35</v>
      </c>
      <c r="F32" s="2" t="s">
        <v>27</v>
      </c>
      <c r="G32" s="2" t="s">
        <v>47</v>
      </c>
      <c r="H32" s="2">
        <v>6</v>
      </c>
      <c r="I32" s="2">
        <v>9</v>
      </c>
      <c r="J32" s="2">
        <v>6</v>
      </c>
      <c r="K32" s="2">
        <v>8</v>
      </c>
      <c r="L32" s="2">
        <v>6</v>
      </c>
      <c r="M32" s="2">
        <v>7</v>
      </c>
      <c r="N32" s="2">
        <v>6</v>
      </c>
      <c r="O32" s="2" t="s">
        <v>29</v>
      </c>
      <c r="P32" s="2" t="s">
        <v>30</v>
      </c>
      <c r="Q32" s="2" t="s">
        <v>29</v>
      </c>
      <c r="R32" s="2">
        <v>6</v>
      </c>
      <c r="S32" s="2">
        <v>79</v>
      </c>
      <c r="T32" s="2" t="str">
        <f t="shared" si="0"/>
        <v>Need Improvement</v>
      </c>
    </row>
    <row r="33" spans="1:20">
      <c r="A33" s="3" t="s">
        <v>149</v>
      </c>
      <c r="B33" s="3" t="s">
        <v>150</v>
      </c>
      <c r="C33" s="3" t="s">
        <v>151</v>
      </c>
      <c r="D33" s="3" t="s">
        <v>152</v>
      </c>
      <c r="E33" s="3" t="s">
        <v>41</v>
      </c>
      <c r="F33" s="3" t="s">
        <v>27</v>
      </c>
      <c r="G33" s="3" t="s">
        <v>52</v>
      </c>
      <c r="H33" s="3">
        <v>6</v>
      </c>
      <c r="I33" s="3">
        <v>10</v>
      </c>
      <c r="J33" s="3">
        <v>7</v>
      </c>
      <c r="K33" s="3">
        <v>9</v>
      </c>
      <c r="L33" s="3">
        <v>8</v>
      </c>
      <c r="M33" s="3">
        <v>10</v>
      </c>
      <c r="N33" s="3">
        <v>10</v>
      </c>
      <c r="O33" s="3" t="s">
        <v>29</v>
      </c>
      <c r="P33" s="3" t="s">
        <v>30</v>
      </c>
      <c r="Q33" s="3" t="s">
        <v>30</v>
      </c>
      <c r="R33" s="3">
        <v>6</v>
      </c>
      <c r="S33" s="3">
        <v>82</v>
      </c>
      <c r="T33" s="3" t="str">
        <f t="shared" si="0"/>
        <v>Need Improvement</v>
      </c>
    </row>
  </sheetData>
  <autoFilter ref="A3:T33" xr:uid="{00000000-0009-0000-0000-000000000000}"/>
  <mergeCells count="2">
    <mergeCell ref="A1:T1"/>
    <mergeCell ref="A2:T2"/>
  </mergeCells>
  <conditionalFormatting sqref="H4:N33">
    <cfRule type="colorScale" priority="5">
      <colorScale>
        <cfvo type="num" val="1"/>
        <cfvo type="num" val="5"/>
        <cfvo type="num" val="10"/>
        <color rgb="FFE74C3C"/>
        <color rgb="FFF39C12"/>
        <color rgb="FF27AE60"/>
      </colorScale>
    </cfRule>
  </conditionalFormatting>
  <conditionalFormatting sqref="T4:T33">
    <cfRule type="cellIs" dxfId="8" priority="2" operator="equal">
      <formula>"Ready"</formula>
    </cfRule>
    <cfRule type="cellIs" dxfId="7" priority="3" operator="equal">
      <formula>"Need Improvement"</formula>
    </cfRule>
    <cfRule type="cellIs" dxfId="6" priority="4" operator="equal">
      <formula>"Not Ready"</formula>
    </cfRule>
  </conditionalFormatting>
  <dataValidations count="3">
    <dataValidation type="list" allowBlank="1" sqref="O4:Q33" xr:uid="{00000000-0002-0000-0000-000000000000}">
      <formula1>"Complete,Pending"</formula1>
      <formula2>0</formula2>
    </dataValidation>
    <dataValidation type="list" allowBlank="1" sqref="E4:E33" xr:uid="{00000000-0002-0000-0000-000001000000}">
      <formula1>"Batch A,Batch B,Batch C"</formula1>
      <formula2>0</formula2>
    </dataValidation>
    <dataValidation type="whole" allowBlank="1" sqref="H4:N33" xr:uid="{00000000-0002-0000-0000-000002000000}">
      <formula1>1</formula1>
      <formula2>10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37"/>
  <sheetViews>
    <sheetView zoomScaleNormal="100" workbookViewId="0">
      <pane ySplit="3" topLeftCell="A4" activePane="bottomLeft" state="frozen"/>
      <selection pane="bottomLeft"/>
    </sheetView>
  </sheetViews>
  <sheetFormatPr defaultColWidth="8.6640625" defaultRowHeight="14.4"/>
  <cols>
    <col min="1" max="1" width="14" customWidth="1"/>
    <col min="2" max="2" width="15" customWidth="1"/>
    <col min="3" max="3" width="25" customWidth="1"/>
    <col min="4" max="4" width="12" customWidth="1"/>
    <col min="5" max="5" width="25" customWidth="1"/>
    <col min="6" max="6" width="12" customWidth="1"/>
    <col min="7" max="7" width="14" customWidth="1"/>
  </cols>
  <sheetData>
    <row r="1" spans="1:7" ht="45" customHeight="1">
      <c r="A1" s="45" t="s">
        <v>153</v>
      </c>
      <c r="B1" s="45"/>
      <c r="C1" s="45"/>
      <c r="D1" s="45"/>
      <c r="E1" s="45"/>
      <c r="F1" s="45"/>
      <c r="G1" s="45"/>
    </row>
    <row r="2" spans="1:7" ht="21.75" customHeight="1">
      <c r="A2" s="46" t="s">
        <v>154</v>
      </c>
      <c r="B2" s="46"/>
      <c r="C2" s="46"/>
      <c r="D2" s="46"/>
      <c r="E2" s="46"/>
      <c r="F2" s="46"/>
      <c r="G2" s="46"/>
    </row>
    <row r="3" spans="1:7" ht="30" customHeight="1">
      <c r="A3" s="1" t="s">
        <v>155</v>
      </c>
      <c r="B3" s="1" t="s">
        <v>2</v>
      </c>
      <c r="C3" s="1" t="s">
        <v>3</v>
      </c>
      <c r="D3" s="1" t="s">
        <v>156</v>
      </c>
      <c r="E3" s="1" t="s">
        <v>157</v>
      </c>
      <c r="F3" s="1" t="s">
        <v>158</v>
      </c>
      <c r="G3" s="1" t="s">
        <v>159</v>
      </c>
    </row>
    <row r="4" spans="1:7">
      <c r="A4" s="4" t="s">
        <v>160</v>
      </c>
      <c r="B4" s="2" t="s">
        <v>22</v>
      </c>
      <c r="C4" s="2" t="s">
        <v>23</v>
      </c>
      <c r="D4" s="5" t="s">
        <v>161</v>
      </c>
      <c r="E4" s="2"/>
      <c r="F4" s="2"/>
      <c r="G4" s="2"/>
    </row>
    <row r="5" spans="1:7">
      <c r="A5" s="6" t="s">
        <v>162</v>
      </c>
      <c r="B5" s="3" t="s">
        <v>22</v>
      </c>
      <c r="C5" s="3" t="s">
        <v>23</v>
      </c>
      <c r="D5" s="5" t="s">
        <v>161</v>
      </c>
      <c r="E5" s="3"/>
      <c r="F5" s="3"/>
      <c r="G5" s="3"/>
    </row>
    <row r="6" spans="1:7">
      <c r="A6" s="4" t="s">
        <v>163</v>
      </c>
      <c r="B6" s="2" t="s">
        <v>22</v>
      </c>
      <c r="C6" s="2" t="s">
        <v>23</v>
      </c>
      <c r="D6" s="5" t="s">
        <v>161</v>
      </c>
      <c r="E6" s="2"/>
      <c r="F6" s="2"/>
      <c r="G6" s="2"/>
    </row>
    <row r="7" spans="1:7">
      <c r="A7" s="6" t="s">
        <v>164</v>
      </c>
      <c r="B7" s="3" t="s">
        <v>22</v>
      </c>
      <c r="C7" s="3" t="s">
        <v>23</v>
      </c>
      <c r="D7" s="7" t="s">
        <v>165</v>
      </c>
      <c r="E7" s="3"/>
      <c r="F7" s="3"/>
      <c r="G7" s="3"/>
    </row>
    <row r="8" spans="1:7">
      <c r="A8" s="4" t="s">
        <v>166</v>
      </c>
      <c r="B8" s="2" t="s">
        <v>22</v>
      </c>
      <c r="C8" s="2" t="s">
        <v>23</v>
      </c>
      <c r="D8" s="5" t="s">
        <v>161</v>
      </c>
      <c r="E8" s="2"/>
      <c r="F8" s="2"/>
      <c r="G8" s="2"/>
    </row>
    <row r="9" spans="1:7">
      <c r="A9" s="6" t="s">
        <v>167</v>
      </c>
      <c r="B9" s="3" t="s">
        <v>22</v>
      </c>
      <c r="C9" s="3" t="s">
        <v>23</v>
      </c>
      <c r="D9" s="7" t="s">
        <v>165</v>
      </c>
      <c r="E9" s="3"/>
      <c r="F9" s="3"/>
      <c r="G9" s="3"/>
    </row>
    <row r="10" spans="1:7">
      <c r="A10" s="4" t="s">
        <v>168</v>
      </c>
      <c r="B10" s="2" t="s">
        <v>22</v>
      </c>
      <c r="C10" s="2" t="s">
        <v>23</v>
      </c>
      <c r="D10" s="7" t="s">
        <v>165</v>
      </c>
      <c r="E10" s="2"/>
      <c r="F10" s="2"/>
      <c r="G10" s="2"/>
    </row>
    <row r="11" spans="1:7">
      <c r="A11" s="6" t="s">
        <v>169</v>
      </c>
      <c r="B11" s="3" t="s">
        <v>22</v>
      </c>
      <c r="C11" s="3" t="s">
        <v>23</v>
      </c>
      <c r="D11" s="5" t="s">
        <v>161</v>
      </c>
      <c r="E11" s="3"/>
      <c r="F11" s="3"/>
      <c r="G11" s="3"/>
    </row>
    <row r="12" spans="1:7">
      <c r="A12" s="4" t="s">
        <v>170</v>
      </c>
      <c r="B12" s="2" t="s">
        <v>22</v>
      </c>
      <c r="C12" s="2" t="s">
        <v>23</v>
      </c>
      <c r="D12" s="5" t="s">
        <v>161</v>
      </c>
      <c r="E12" s="2"/>
      <c r="F12" s="2"/>
      <c r="G12" s="2"/>
    </row>
    <row r="13" spans="1:7">
      <c r="A13" s="6" t="s">
        <v>171</v>
      </c>
      <c r="B13" s="3" t="s">
        <v>22</v>
      </c>
      <c r="C13" s="3" t="s">
        <v>23</v>
      </c>
      <c r="D13" s="5" t="s">
        <v>161</v>
      </c>
      <c r="E13" s="3"/>
      <c r="F13" s="3"/>
      <c r="G13" s="3"/>
    </row>
    <row r="14" spans="1:7">
      <c r="A14" s="4" t="s">
        <v>172</v>
      </c>
      <c r="B14" s="2" t="s">
        <v>22</v>
      </c>
      <c r="C14" s="2" t="s">
        <v>23</v>
      </c>
      <c r="D14" s="5" t="s">
        <v>161</v>
      </c>
      <c r="E14" s="2"/>
      <c r="F14" s="2"/>
      <c r="G14" s="2"/>
    </row>
    <row r="15" spans="1:7">
      <c r="A15" s="6" t="s">
        <v>173</v>
      </c>
      <c r="B15" s="3" t="s">
        <v>22</v>
      </c>
      <c r="C15" s="3" t="s">
        <v>23</v>
      </c>
      <c r="D15" s="5" t="s">
        <v>161</v>
      </c>
      <c r="E15" s="3"/>
      <c r="F15" s="3"/>
      <c r="G15" s="3"/>
    </row>
    <row r="16" spans="1:7">
      <c r="A16" s="4" t="s">
        <v>174</v>
      </c>
      <c r="B16" s="2" t="s">
        <v>22</v>
      </c>
      <c r="C16" s="2" t="s">
        <v>23</v>
      </c>
      <c r="D16" s="5" t="s">
        <v>161</v>
      </c>
      <c r="E16" s="2"/>
      <c r="F16" s="2"/>
      <c r="G16" s="2"/>
    </row>
    <row r="17" spans="1:7">
      <c r="A17" s="6" t="s">
        <v>175</v>
      </c>
      <c r="B17" s="3" t="s">
        <v>22</v>
      </c>
      <c r="C17" s="3" t="s">
        <v>23</v>
      </c>
      <c r="D17" s="5" t="s">
        <v>161</v>
      </c>
      <c r="E17" s="3"/>
      <c r="F17" s="3"/>
      <c r="G17" s="3"/>
    </row>
    <row r="18" spans="1:7">
      <c r="A18" s="4" t="s">
        <v>176</v>
      </c>
      <c r="B18" s="2" t="s">
        <v>22</v>
      </c>
      <c r="C18" s="2" t="s">
        <v>23</v>
      </c>
      <c r="D18" s="5" t="s">
        <v>161</v>
      </c>
      <c r="E18" s="2"/>
      <c r="F18" s="2"/>
      <c r="G18" s="2"/>
    </row>
    <row r="19" spans="1:7">
      <c r="A19" s="6" t="s">
        <v>177</v>
      </c>
      <c r="B19" s="3" t="s">
        <v>22</v>
      </c>
      <c r="C19" s="3" t="s">
        <v>23</v>
      </c>
      <c r="D19" s="5" t="s">
        <v>161</v>
      </c>
      <c r="E19" s="3"/>
      <c r="F19" s="3"/>
      <c r="G19" s="3"/>
    </row>
    <row r="20" spans="1:7">
      <c r="A20" s="4" t="s">
        <v>178</v>
      </c>
      <c r="B20" s="2" t="s">
        <v>22</v>
      </c>
      <c r="C20" s="2" t="s">
        <v>23</v>
      </c>
      <c r="D20" s="5" t="s">
        <v>161</v>
      </c>
      <c r="E20" s="2"/>
      <c r="F20" s="2"/>
      <c r="G20" s="2"/>
    </row>
    <row r="21" spans="1:7">
      <c r="A21" s="6" t="s">
        <v>179</v>
      </c>
      <c r="B21" s="3" t="s">
        <v>22</v>
      </c>
      <c r="C21" s="3" t="s">
        <v>23</v>
      </c>
      <c r="D21" s="5" t="s">
        <v>161</v>
      </c>
      <c r="E21" s="3"/>
      <c r="F21" s="3"/>
      <c r="G21" s="3"/>
    </row>
    <row r="22" spans="1:7">
      <c r="A22" s="4" t="s">
        <v>180</v>
      </c>
      <c r="B22" s="2" t="s">
        <v>22</v>
      </c>
      <c r="C22" s="2" t="s">
        <v>23</v>
      </c>
      <c r="D22" s="5" t="s">
        <v>161</v>
      </c>
      <c r="E22" s="2"/>
      <c r="F22" s="2"/>
      <c r="G22" s="2"/>
    </row>
    <row r="23" spans="1:7">
      <c r="A23" s="6" t="s">
        <v>181</v>
      </c>
      <c r="B23" s="3" t="s">
        <v>22</v>
      </c>
      <c r="C23" s="3" t="s">
        <v>23</v>
      </c>
      <c r="D23" s="5" t="s">
        <v>161</v>
      </c>
      <c r="E23" s="3"/>
      <c r="F23" s="3"/>
      <c r="G23" s="3"/>
    </row>
    <row r="24" spans="1:7">
      <c r="A24" s="4" t="s">
        <v>160</v>
      </c>
      <c r="B24" s="2" t="s">
        <v>31</v>
      </c>
      <c r="C24" s="2" t="s">
        <v>32</v>
      </c>
      <c r="D24" s="5" t="s">
        <v>161</v>
      </c>
      <c r="E24" s="2"/>
      <c r="F24" s="2"/>
      <c r="G24" s="2"/>
    </row>
    <row r="25" spans="1:7">
      <c r="A25" s="6" t="s">
        <v>162</v>
      </c>
      <c r="B25" s="3" t="s">
        <v>31</v>
      </c>
      <c r="C25" s="3" t="s">
        <v>32</v>
      </c>
      <c r="D25" s="5" t="s">
        <v>161</v>
      </c>
      <c r="E25" s="3"/>
      <c r="F25" s="3"/>
      <c r="G25" s="3"/>
    </row>
    <row r="26" spans="1:7">
      <c r="A26" s="4" t="s">
        <v>163</v>
      </c>
      <c r="B26" s="2" t="s">
        <v>31</v>
      </c>
      <c r="C26" s="2" t="s">
        <v>32</v>
      </c>
      <c r="D26" s="5" t="s">
        <v>161</v>
      </c>
      <c r="E26" s="2"/>
      <c r="F26" s="2"/>
      <c r="G26" s="2"/>
    </row>
    <row r="27" spans="1:7">
      <c r="A27" s="6" t="s">
        <v>164</v>
      </c>
      <c r="B27" s="3" t="s">
        <v>31</v>
      </c>
      <c r="C27" s="3" t="s">
        <v>32</v>
      </c>
      <c r="D27" s="7" t="s">
        <v>165</v>
      </c>
      <c r="E27" s="3"/>
      <c r="F27" s="3"/>
      <c r="G27" s="3"/>
    </row>
    <row r="28" spans="1:7">
      <c r="A28" s="4" t="s">
        <v>166</v>
      </c>
      <c r="B28" s="2" t="s">
        <v>31</v>
      </c>
      <c r="C28" s="2" t="s">
        <v>32</v>
      </c>
      <c r="D28" s="5" t="s">
        <v>161</v>
      </c>
      <c r="E28" s="2"/>
      <c r="F28" s="2"/>
      <c r="G28" s="2"/>
    </row>
    <row r="29" spans="1:7">
      <c r="A29" s="6" t="s">
        <v>167</v>
      </c>
      <c r="B29" s="3" t="s">
        <v>31</v>
      </c>
      <c r="C29" s="3" t="s">
        <v>32</v>
      </c>
      <c r="D29" s="5" t="s">
        <v>161</v>
      </c>
      <c r="E29" s="3"/>
      <c r="F29" s="3"/>
      <c r="G29" s="3"/>
    </row>
    <row r="30" spans="1:7">
      <c r="A30" s="4" t="s">
        <v>168</v>
      </c>
      <c r="B30" s="2" t="s">
        <v>31</v>
      </c>
      <c r="C30" s="2" t="s">
        <v>32</v>
      </c>
      <c r="D30" s="5" t="s">
        <v>161</v>
      </c>
      <c r="E30" s="2"/>
      <c r="F30" s="2"/>
      <c r="G30" s="2"/>
    </row>
    <row r="31" spans="1:7">
      <c r="A31" s="6" t="s">
        <v>169</v>
      </c>
      <c r="B31" s="3" t="s">
        <v>31</v>
      </c>
      <c r="C31" s="3" t="s">
        <v>32</v>
      </c>
      <c r="D31" s="7" t="s">
        <v>165</v>
      </c>
      <c r="E31" s="3"/>
      <c r="F31" s="3"/>
      <c r="G31" s="3"/>
    </row>
    <row r="32" spans="1:7">
      <c r="A32" s="4" t="s">
        <v>170</v>
      </c>
      <c r="B32" s="2" t="s">
        <v>31</v>
      </c>
      <c r="C32" s="2" t="s">
        <v>32</v>
      </c>
      <c r="D32" s="7" t="s">
        <v>165</v>
      </c>
      <c r="E32" s="2"/>
      <c r="F32" s="2"/>
      <c r="G32" s="2"/>
    </row>
    <row r="33" spans="1:7">
      <c r="A33" s="6" t="s">
        <v>171</v>
      </c>
      <c r="B33" s="3" t="s">
        <v>31</v>
      </c>
      <c r="C33" s="3" t="s">
        <v>32</v>
      </c>
      <c r="D33" s="5" t="s">
        <v>161</v>
      </c>
      <c r="E33" s="3"/>
      <c r="F33" s="3"/>
      <c r="G33" s="3"/>
    </row>
    <row r="34" spans="1:7">
      <c r="A34" s="4" t="s">
        <v>172</v>
      </c>
      <c r="B34" s="2" t="s">
        <v>31</v>
      </c>
      <c r="C34" s="2" t="s">
        <v>32</v>
      </c>
      <c r="D34" s="5" t="s">
        <v>161</v>
      </c>
      <c r="E34" s="2"/>
      <c r="F34" s="2"/>
      <c r="G34" s="2"/>
    </row>
    <row r="35" spans="1:7">
      <c r="A35" s="6" t="s">
        <v>173</v>
      </c>
      <c r="B35" s="3" t="s">
        <v>31</v>
      </c>
      <c r="C35" s="3" t="s">
        <v>32</v>
      </c>
      <c r="D35" s="5" t="s">
        <v>161</v>
      </c>
      <c r="E35" s="3"/>
      <c r="F35" s="3"/>
      <c r="G35" s="3"/>
    </row>
    <row r="36" spans="1:7">
      <c r="A36" s="4" t="s">
        <v>174</v>
      </c>
      <c r="B36" s="2" t="s">
        <v>31</v>
      </c>
      <c r="C36" s="2" t="s">
        <v>32</v>
      </c>
      <c r="D36" s="5" t="s">
        <v>161</v>
      </c>
      <c r="E36" s="2"/>
      <c r="F36" s="2"/>
      <c r="G36" s="2"/>
    </row>
    <row r="37" spans="1:7">
      <c r="A37" s="6" t="s">
        <v>175</v>
      </c>
      <c r="B37" s="3" t="s">
        <v>31</v>
      </c>
      <c r="C37" s="3" t="s">
        <v>32</v>
      </c>
      <c r="D37" s="5" t="s">
        <v>161</v>
      </c>
      <c r="E37" s="3"/>
      <c r="F37" s="3"/>
      <c r="G37" s="3"/>
    </row>
    <row r="38" spans="1:7">
      <c r="A38" s="4" t="s">
        <v>176</v>
      </c>
      <c r="B38" s="2" t="s">
        <v>31</v>
      </c>
      <c r="C38" s="2" t="s">
        <v>32</v>
      </c>
      <c r="D38" s="5" t="s">
        <v>161</v>
      </c>
      <c r="E38" s="2"/>
      <c r="F38" s="2"/>
      <c r="G38" s="2"/>
    </row>
    <row r="39" spans="1:7">
      <c r="A39" s="6" t="s">
        <v>177</v>
      </c>
      <c r="B39" s="3" t="s">
        <v>31</v>
      </c>
      <c r="C39" s="3" t="s">
        <v>32</v>
      </c>
      <c r="D39" s="5" t="s">
        <v>161</v>
      </c>
      <c r="E39" s="3"/>
      <c r="F39" s="3"/>
      <c r="G39" s="3"/>
    </row>
    <row r="40" spans="1:7">
      <c r="A40" s="4" t="s">
        <v>178</v>
      </c>
      <c r="B40" s="2" t="s">
        <v>31</v>
      </c>
      <c r="C40" s="2" t="s">
        <v>32</v>
      </c>
      <c r="D40" s="7" t="s">
        <v>165</v>
      </c>
      <c r="E40" s="2"/>
      <c r="F40" s="2"/>
      <c r="G40" s="2"/>
    </row>
    <row r="41" spans="1:7">
      <c r="A41" s="6" t="s">
        <v>179</v>
      </c>
      <c r="B41" s="3" t="s">
        <v>31</v>
      </c>
      <c r="C41" s="3" t="s">
        <v>32</v>
      </c>
      <c r="D41" s="5" t="s">
        <v>161</v>
      </c>
      <c r="E41" s="3"/>
      <c r="F41" s="3"/>
      <c r="G41" s="3"/>
    </row>
    <row r="42" spans="1:7">
      <c r="A42" s="4" t="s">
        <v>180</v>
      </c>
      <c r="B42" s="2" t="s">
        <v>31</v>
      </c>
      <c r="C42" s="2" t="s">
        <v>32</v>
      </c>
      <c r="D42" s="5" t="s">
        <v>161</v>
      </c>
      <c r="E42" s="2"/>
      <c r="F42" s="2"/>
      <c r="G42" s="2"/>
    </row>
    <row r="43" spans="1:7">
      <c r="A43" s="6" t="s">
        <v>181</v>
      </c>
      <c r="B43" s="3" t="s">
        <v>31</v>
      </c>
      <c r="C43" s="3" t="s">
        <v>32</v>
      </c>
      <c r="D43" s="5" t="s">
        <v>161</v>
      </c>
      <c r="E43" s="3"/>
      <c r="F43" s="3"/>
      <c r="G43" s="3"/>
    </row>
    <row r="44" spans="1:7">
      <c r="A44" s="4" t="s">
        <v>160</v>
      </c>
      <c r="B44" s="2" t="s">
        <v>37</v>
      </c>
      <c r="C44" s="2" t="s">
        <v>38</v>
      </c>
      <c r="D44" s="5" t="s">
        <v>161</v>
      </c>
      <c r="E44" s="2"/>
      <c r="F44" s="2"/>
      <c r="G44" s="2"/>
    </row>
    <row r="45" spans="1:7">
      <c r="A45" s="6" t="s">
        <v>162</v>
      </c>
      <c r="B45" s="3" t="s">
        <v>37</v>
      </c>
      <c r="C45" s="3" t="s">
        <v>38</v>
      </c>
      <c r="D45" s="5" t="s">
        <v>161</v>
      </c>
      <c r="E45" s="3"/>
      <c r="F45" s="3"/>
      <c r="G45" s="3"/>
    </row>
    <row r="46" spans="1:7">
      <c r="A46" s="4" t="s">
        <v>163</v>
      </c>
      <c r="B46" s="2" t="s">
        <v>37</v>
      </c>
      <c r="C46" s="2" t="s">
        <v>38</v>
      </c>
      <c r="D46" s="7" t="s">
        <v>165</v>
      </c>
      <c r="E46" s="2"/>
      <c r="F46" s="2"/>
      <c r="G46" s="2"/>
    </row>
    <row r="47" spans="1:7">
      <c r="A47" s="6" t="s">
        <v>164</v>
      </c>
      <c r="B47" s="3" t="s">
        <v>37</v>
      </c>
      <c r="C47" s="3" t="s">
        <v>38</v>
      </c>
      <c r="D47" s="5" t="s">
        <v>161</v>
      </c>
      <c r="E47" s="3"/>
      <c r="F47" s="3"/>
      <c r="G47" s="3"/>
    </row>
    <row r="48" spans="1:7">
      <c r="A48" s="4" t="s">
        <v>166</v>
      </c>
      <c r="B48" s="2" t="s">
        <v>37</v>
      </c>
      <c r="C48" s="2" t="s">
        <v>38</v>
      </c>
      <c r="D48" s="5" t="s">
        <v>161</v>
      </c>
      <c r="E48" s="2"/>
      <c r="F48" s="2"/>
      <c r="G48" s="2"/>
    </row>
    <row r="49" spans="1:7">
      <c r="A49" s="6" t="s">
        <v>167</v>
      </c>
      <c r="B49" s="3" t="s">
        <v>37</v>
      </c>
      <c r="C49" s="3" t="s">
        <v>38</v>
      </c>
      <c r="D49" s="5" t="s">
        <v>161</v>
      </c>
      <c r="E49" s="3"/>
      <c r="F49" s="3"/>
      <c r="G49" s="3"/>
    </row>
    <row r="50" spans="1:7">
      <c r="A50" s="4" t="s">
        <v>168</v>
      </c>
      <c r="B50" s="2" t="s">
        <v>37</v>
      </c>
      <c r="C50" s="2" t="s">
        <v>38</v>
      </c>
      <c r="D50" s="5" t="s">
        <v>161</v>
      </c>
      <c r="E50" s="2"/>
      <c r="F50" s="2"/>
      <c r="G50" s="2"/>
    </row>
    <row r="51" spans="1:7">
      <c r="A51" s="6" t="s">
        <v>169</v>
      </c>
      <c r="B51" s="3" t="s">
        <v>37</v>
      </c>
      <c r="C51" s="3" t="s">
        <v>38</v>
      </c>
      <c r="D51" s="5" t="s">
        <v>161</v>
      </c>
      <c r="E51" s="3"/>
      <c r="F51" s="3"/>
      <c r="G51" s="3"/>
    </row>
    <row r="52" spans="1:7">
      <c r="A52" s="4" t="s">
        <v>170</v>
      </c>
      <c r="B52" s="2" t="s">
        <v>37</v>
      </c>
      <c r="C52" s="2" t="s">
        <v>38</v>
      </c>
      <c r="D52" s="5" t="s">
        <v>161</v>
      </c>
      <c r="E52" s="2"/>
      <c r="F52" s="2"/>
      <c r="G52" s="2"/>
    </row>
    <row r="53" spans="1:7">
      <c r="A53" s="6" t="s">
        <v>171</v>
      </c>
      <c r="B53" s="3" t="s">
        <v>37</v>
      </c>
      <c r="C53" s="3" t="s">
        <v>38</v>
      </c>
      <c r="D53" s="5" t="s">
        <v>161</v>
      </c>
      <c r="E53" s="3"/>
      <c r="F53" s="3"/>
      <c r="G53" s="3"/>
    </row>
    <row r="54" spans="1:7">
      <c r="A54" s="4" t="s">
        <v>172</v>
      </c>
      <c r="B54" s="2" t="s">
        <v>37</v>
      </c>
      <c r="C54" s="2" t="s">
        <v>38</v>
      </c>
      <c r="D54" s="7" t="s">
        <v>165</v>
      </c>
      <c r="E54" s="2"/>
      <c r="F54" s="2"/>
      <c r="G54" s="2"/>
    </row>
    <row r="55" spans="1:7">
      <c r="A55" s="6" t="s">
        <v>173</v>
      </c>
      <c r="B55" s="3" t="s">
        <v>37</v>
      </c>
      <c r="C55" s="3" t="s">
        <v>38</v>
      </c>
      <c r="D55" s="5" t="s">
        <v>161</v>
      </c>
      <c r="E55" s="3"/>
      <c r="F55" s="3"/>
      <c r="G55" s="3"/>
    </row>
    <row r="56" spans="1:7">
      <c r="A56" s="4" t="s">
        <v>174</v>
      </c>
      <c r="B56" s="2" t="s">
        <v>37</v>
      </c>
      <c r="C56" s="2" t="s">
        <v>38</v>
      </c>
      <c r="D56" s="5" t="s">
        <v>161</v>
      </c>
      <c r="E56" s="2"/>
      <c r="F56" s="2"/>
      <c r="G56" s="2"/>
    </row>
    <row r="57" spans="1:7">
      <c r="A57" s="6" t="s">
        <v>175</v>
      </c>
      <c r="B57" s="3" t="s">
        <v>37</v>
      </c>
      <c r="C57" s="3" t="s">
        <v>38</v>
      </c>
      <c r="D57" s="5" t="s">
        <v>161</v>
      </c>
      <c r="E57" s="3"/>
      <c r="F57" s="3"/>
      <c r="G57" s="3"/>
    </row>
    <row r="58" spans="1:7">
      <c r="A58" s="4" t="s">
        <v>176</v>
      </c>
      <c r="B58" s="2" t="s">
        <v>37</v>
      </c>
      <c r="C58" s="2" t="s">
        <v>38</v>
      </c>
      <c r="D58" s="5" t="s">
        <v>161</v>
      </c>
      <c r="E58" s="2"/>
      <c r="F58" s="2"/>
      <c r="G58" s="2"/>
    </row>
    <row r="59" spans="1:7">
      <c r="A59" s="6" t="s">
        <v>177</v>
      </c>
      <c r="B59" s="3" t="s">
        <v>37</v>
      </c>
      <c r="C59" s="3" t="s">
        <v>38</v>
      </c>
      <c r="D59" s="5" t="s">
        <v>161</v>
      </c>
      <c r="E59" s="3"/>
      <c r="F59" s="3"/>
      <c r="G59" s="3"/>
    </row>
    <row r="60" spans="1:7">
      <c r="A60" s="4" t="s">
        <v>178</v>
      </c>
      <c r="B60" s="2" t="s">
        <v>37</v>
      </c>
      <c r="C60" s="2" t="s">
        <v>38</v>
      </c>
      <c r="D60" s="5" t="s">
        <v>161</v>
      </c>
      <c r="E60" s="2"/>
      <c r="F60" s="2"/>
      <c r="G60" s="2"/>
    </row>
    <row r="61" spans="1:7">
      <c r="A61" s="6" t="s">
        <v>179</v>
      </c>
      <c r="B61" s="3" t="s">
        <v>37</v>
      </c>
      <c r="C61" s="3" t="s">
        <v>38</v>
      </c>
      <c r="D61" s="5" t="s">
        <v>161</v>
      </c>
      <c r="E61" s="3"/>
      <c r="F61" s="3"/>
      <c r="G61" s="3"/>
    </row>
    <row r="62" spans="1:7">
      <c r="A62" s="4" t="s">
        <v>180</v>
      </c>
      <c r="B62" s="2" t="s">
        <v>37</v>
      </c>
      <c r="C62" s="2" t="s">
        <v>38</v>
      </c>
      <c r="D62" s="5" t="s">
        <v>161</v>
      </c>
      <c r="E62" s="2"/>
      <c r="F62" s="2"/>
      <c r="G62" s="2"/>
    </row>
    <row r="63" spans="1:7">
      <c r="A63" s="6" t="s">
        <v>181</v>
      </c>
      <c r="B63" s="3" t="s">
        <v>37</v>
      </c>
      <c r="C63" s="3" t="s">
        <v>38</v>
      </c>
      <c r="D63" s="5" t="s">
        <v>161</v>
      </c>
      <c r="E63" s="3"/>
      <c r="F63" s="3"/>
      <c r="G63" s="3"/>
    </row>
    <row r="64" spans="1:7">
      <c r="A64" s="4" t="s">
        <v>160</v>
      </c>
      <c r="B64" s="2" t="s">
        <v>43</v>
      </c>
      <c r="C64" s="2" t="s">
        <v>44</v>
      </c>
      <c r="D64" s="5" t="s">
        <v>161</v>
      </c>
      <c r="E64" s="2"/>
      <c r="F64" s="2"/>
      <c r="G64" s="2"/>
    </row>
    <row r="65" spans="1:7">
      <c r="A65" s="6" t="s">
        <v>162</v>
      </c>
      <c r="B65" s="3" t="s">
        <v>43</v>
      </c>
      <c r="C65" s="3" t="s">
        <v>44</v>
      </c>
      <c r="D65" s="5" t="s">
        <v>161</v>
      </c>
      <c r="E65" s="3"/>
      <c r="F65" s="3"/>
      <c r="G65" s="3"/>
    </row>
    <row r="66" spans="1:7">
      <c r="A66" s="4" t="s">
        <v>163</v>
      </c>
      <c r="B66" s="2" t="s">
        <v>43</v>
      </c>
      <c r="C66" s="2" t="s">
        <v>44</v>
      </c>
      <c r="D66" s="5" t="s">
        <v>161</v>
      </c>
      <c r="E66" s="2"/>
      <c r="F66" s="2"/>
      <c r="G66" s="2"/>
    </row>
    <row r="67" spans="1:7">
      <c r="A67" s="6" t="s">
        <v>164</v>
      </c>
      <c r="B67" s="3" t="s">
        <v>43</v>
      </c>
      <c r="C67" s="3" t="s">
        <v>44</v>
      </c>
      <c r="D67" s="5" t="s">
        <v>161</v>
      </c>
      <c r="E67" s="3"/>
      <c r="F67" s="3"/>
      <c r="G67" s="3"/>
    </row>
    <row r="68" spans="1:7">
      <c r="A68" s="4" t="s">
        <v>166</v>
      </c>
      <c r="B68" s="2" t="s">
        <v>43</v>
      </c>
      <c r="C68" s="2" t="s">
        <v>44</v>
      </c>
      <c r="D68" s="5" t="s">
        <v>161</v>
      </c>
      <c r="E68" s="2"/>
      <c r="F68" s="2"/>
      <c r="G68" s="2"/>
    </row>
    <row r="69" spans="1:7">
      <c r="A69" s="6" t="s">
        <v>167</v>
      </c>
      <c r="B69" s="3" t="s">
        <v>43</v>
      </c>
      <c r="C69" s="3" t="s">
        <v>44</v>
      </c>
      <c r="D69" s="5" t="s">
        <v>161</v>
      </c>
      <c r="E69" s="3"/>
      <c r="F69" s="3"/>
      <c r="G69" s="3"/>
    </row>
    <row r="70" spans="1:7">
      <c r="A70" s="4" t="s">
        <v>168</v>
      </c>
      <c r="B70" s="2" t="s">
        <v>43</v>
      </c>
      <c r="C70" s="2" t="s">
        <v>44</v>
      </c>
      <c r="D70" s="7" t="s">
        <v>165</v>
      </c>
      <c r="E70" s="2"/>
      <c r="F70" s="2"/>
      <c r="G70" s="2"/>
    </row>
    <row r="71" spans="1:7">
      <c r="A71" s="6" t="s">
        <v>169</v>
      </c>
      <c r="B71" s="3" t="s">
        <v>43</v>
      </c>
      <c r="C71" s="3" t="s">
        <v>44</v>
      </c>
      <c r="D71" s="5" t="s">
        <v>161</v>
      </c>
      <c r="E71" s="3"/>
      <c r="F71" s="3"/>
      <c r="G71" s="3"/>
    </row>
    <row r="72" spans="1:7">
      <c r="A72" s="4" t="s">
        <v>170</v>
      </c>
      <c r="B72" s="2" t="s">
        <v>43</v>
      </c>
      <c r="C72" s="2" t="s">
        <v>44</v>
      </c>
      <c r="D72" s="7" t="s">
        <v>165</v>
      </c>
      <c r="E72" s="2"/>
      <c r="F72" s="2"/>
      <c r="G72" s="2"/>
    </row>
    <row r="73" spans="1:7">
      <c r="A73" s="6" t="s">
        <v>171</v>
      </c>
      <c r="B73" s="3" t="s">
        <v>43</v>
      </c>
      <c r="C73" s="3" t="s">
        <v>44</v>
      </c>
      <c r="D73" s="5" t="s">
        <v>161</v>
      </c>
      <c r="E73" s="3"/>
      <c r="F73" s="3"/>
      <c r="G73" s="3"/>
    </row>
    <row r="74" spans="1:7">
      <c r="A74" s="4" t="s">
        <v>172</v>
      </c>
      <c r="B74" s="2" t="s">
        <v>43</v>
      </c>
      <c r="C74" s="2" t="s">
        <v>44</v>
      </c>
      <c r="D74" s="5" t="s">
        <v>161</v>
      </c>
      <c r="E74" s="2"/>
      <c r="F74" s="2"/>
      <c r="G74" s="2"/>
    </row>
    <row r="75" spans="1:7">
      <c r="A75" s="6" t="s">
        <v>173</v>
      </c>
      <c r="B75" s="3" t="s">
        <v>43</v>
      </c>
      <c r="C75" s="3" t="s">
        <v>44</v>
      </c>
      <c r="D75" s="5" t="s">
        <v>161</v>
      </c>
      <c r="E75" s="3"/>
      <c r="F75" s="3"/>
      <c r="G75" s="3"/>
    </row>
    <row r="76" spans="1:7">
      <c r="A76" s="4" t="s">
        <v>174</v>
      </c>
      <c r="B76" s="2" t="s">
        <v>43</v>
      </c>
      <c r="C76" s="2" t="s">
        <v>44</v>
      </c>
      <c r="D76" s="5" t="s">
        <v>161</v>
      </c>
      <c r="E76" s="2"/>
      <c r="F76" s="2"/>
      <c r="G76" s="2"/>
    </row>
    <row r="77" spans="1:7">
      <c r="A77" s="6" t="s">
        <v>175</v>
      </c>
      <c r="B77" s="3" t="s">
        <v>43</v>
      </c>
      <c r="C77" s="3" t="s">
        <v>44</v>
      </c>
      <c r="D77" s="5" t="s">
        <v>161</v>
      </c>
      <c r="E77" s="3"/>
      <c r="F77" s="3"/>
      <c r="G77" s="3"/>
    </row>
    <row r="78" spans="1:7">
      <c r="A78" s="4" t="s">
        <v>176</v>
      </c>
      <c r="B78" s="2" t="s">
        <v>43</v>
      </c>
      <c r="C78" s="2" t="s">
        <v>44</v>
      </c>
      <c r="D78" s="7" t="s">
        <v>165</v>
      </c>
      <c r="E78" s="2"/>
      <c r="F78" s="2"/>
      <c r="G78" s="2"/>
    </row>
    <row r="79" spans="1:7">
      <c r="A79" s="6" t="s">
        <v>177</v>
      </c>
      <c r="B79" s="3" t="s">
        <v>43</v>
      </c>
      <c r="C79" s="3" t="s">
        <v>44</v>
      </c>
      <c r="D79" s="7" t="s">
        <v>165</v>
      </c>
      <c r="E79" s="3"/>
      <c r="F79" s="3"/>
      <c r="G79" s="3"/>
    </row>
    <row r="80" spans="1:7">
      <c r="A80" s="4" t="s">
        <v>178</v>
      </c>
      <c r="B80" s="2" t="s">
        <v>43</v>
      </c>
      <c r="C80" s="2" t="s">
        <v>44</v>
      </c>
      <c r="D80" s="7" t="s">
        <v>165</v>
      </c>
      <c r="E80" s="2"/>
      <c r="F80" s="2"/>
      <c r="G80" s="2"/>
    </row>
    <row r="81" spans="1:7">
      <c r="A81" s="6" t="s">
        <v>179</v>
      </c>
      <c r="B81" s="3" t="s">
        <v>43</v>
      </c>
      <c r="C81" s="3" t="s">
        <v>44</v>
      </c>
      <c r="D81" s="5" t="s">
        <v>161</v>
      </c>
      <c r="E81" s="3"/>
      <c r="F81" s="3"/>
      <c r="G81" s="3"/>
    </row>
    <row r="82" spans="1:7">
      <c r="A82" s="4" t="s">
        <v>180</v>
      </c>
      <c r="B82" s="2" t="s">
        <v>43</v>
      </c>
      <c r="C82" s="2" t="s">
        <v>44</v>
      </c>
      <c r="D82" s="5" t="s">
        <v>161</v>
      </c>
      <c r="E82" s="2"/>
      <c r="F82" s="2"/>
      <c r="G82" s="2"/>
    </row>
    <row r="83" spans="1:7">
      <c r="A83" s="6" t="s">
        <v>181</v>
      </c>
      <c r="B83" s="3" t="s">
        <v>43</v>
      </c>
      <c r="C83" s="3" t="s">
        <v>44</v>
      </c>
      <c r="D83" s="5" t="s">
        <v>161</v>
      </c>
      <c r="E83" s="3"/>
      <c r="F83" s="3"/>
      <c r="G83" s="3"/>
    </row>
    <row r="84" spans="1:7">
      <c r="A84" s="4" t="s">
        <v>160</v>
      </c>
      <c r="B84" s="2" t="s">
        <v>48</v>
      </c>
      <c r="C84" s="2" t="s">
        <v>49</v>
      </c>
      <c r="D84" s="7" t="s">
        <v>165</v>
      </c>
      <c r="E84" s="2"/>
      <c r="F84" s="2"/>
      <c r="G84" s="2"/>
    </row>
    <row r="85" spans="1:7">
      <c r="A85" s="6" t="s">
        <v>162</v>
      </c>
      <c r="B85" s="3" t="s">
        <v>48</v>
      </c>
      <c r="C85" s="3" t="s">
        <v>49</v>
      </c>
      <c r="D85" s="5" t="s">
        <v>161</v>
      </c>
      <c r="E85" s="3"/>
      <c r="F85" s="3"/>
      <c r="G85" s="3"/>
    </row>
    <row r="86" spans="1:7">
      <c r="A86" s="4" t="s">
        <v>163</v>
      </c>
      <c r="B86" s="2" t="s">
        <v>48</v>
      </c>
      <c r="C86" s="2" t="s">
        <v>49</v>
      </c>
      <c r="D86" s="5" t="s">
        <v>161</v>
      </c>
      <c r="E86" s="2"/>
      <c r="F86" s="2"/>
      <c r="G86" s="2"/>
    </row>
    <row r="87" spans="1:7">
      <c r="A87" s="6" t="s">
        <v>164</v>
      </c>
      <c r="B87" s="3" t="s">
        <v>48</v>
      </c>
      <c r="C87" s="3" t="s">
        <v>49</v>
      </c>
      <c r="D87" s="5" t="s">
        <v>161</v>
      </c>
      <c r="E87" s="3"/>
      <c r="F87" s="3"/>
      <c r="G87" s="3"/>
    </row>
    <row r="88" spans="1:7">
      <c r="A88" s="4" t="s">
        <v>166</v>
      </c>
      <c r="B88" s="2" t="s">
        <v>48</v>
      </c>
      <c r="C88" s="2" t="s">
        <v>49</v>
      </c>
      <c r="D88" s="5" t="s">
        <v>161</v>
      </c>
      <c r="E88" s="2"/>
      <c r="F88" s="2"/>
      <c r="G88" s="2"/>
    </row>
    <row r="89" spans="1:7">
      <c r="A89" s="6" t="s">
        <v>167</v>
      </c>
      <c r="B89" s="3" t="s">
        <v>48</v>
      </c>
      <c r="C89" s="3" t="s">
        <v>49</v>
      </c>
      <c r="D89" s="7" t="s">
        <v>165</v>
      </c>
      <c r="E89" s="3"/>
      <c r="F89" s="3"/>
      <c r="G89" s="3"/>
    </row>
    <row r="90" spans="1:7">
      <c r="A90" s="4" t="s">
        <v>168</v>
      </c>
      <c r="B90" s="2" t="s">
        <v>48</v>
      </c>
      <c r="C90" s="2" t="s">
        <v>49</v>
      </c>
      <c r="D90" s="5" t="s">
        <v>161</v>
      </c>
      <c r="E90" s="2"/>
      <c r="F90" s="2"/>
      <c r="G90" s="2"/>
    </row>
    <row r="91" spans="1:7">
      <c r="A91" s="6" t="s">
        <v>169</v>
      </c>
      <c r="B91" s="3" t="s">
        <v>48</v>
      </c>
      <c r="C91" s="3" t="s">
        <v>49</v>
      </c>
      <c r="D91" s="5" t="s">
        <v>161</v>
      </c>
      <c r="E91" s="3"/>
      <c r="F91" s="3"/>
      <c r="G91" s="3"/>
    </row>
    <row r="92" spans="1:7">
      <c r="A92" s="4" t="s">
        <v>170</v>
      </c>
      <c r="B92" s="2" t="s">
        <v>48</v>
      </c>
      <c r="C92" s="2" t="s">
        <v>49</v>
      </c>
      <c r="D92" s="5" t="s">
        <v>161</v>
      </c>
      <c r="E92" s="2"/>
      <c r="F92" s="2"/>
      <c r="G92" s="2"/>
    </row>
    <row r="93" spans="1:7">
      <c r="A93" s="6" t="s">
        <v>171</v>
      </c>
      <c r="B93" s="3" t="s">
        <v>48</v>
      </c>
      <c r="C93" s="3" t="s">
        <v>49</v>
      </c>
      <c r="D93" s="5" t="s">
        <v>161</v>
      </c>
      <c r="E93" s="3"/>
      <c r="F93" s="3"/>
      <c r="G93" s="3"/>
    </row>
    <row r="94" spans="1:7">
      <c r="A94" s="4" t="s">
        <v>172</v>
      </c>
      <c r="B94" s="2" t="s">
        <v>48</v>
      </c>
      <c r="C94" s="2" t="s">
        <v>49</v>
      </c>
      <c r="D94" s="5" t="s">
        <v>161</v>
      </c>
      <c r="E94" s="2"/>
      <c r="F94" s="2"/>
      <c r="G94" s="2"/>
    </row>
    <row r="95" spans="1:7">
      <c r="A95" s="6" t="s">
        <v>173</v>
      </c>
      <c r="B95" s="3" t="s">
        <v>48</v>
      </c>
      <c r="C95" s="3" t="s">
        <v>49</v>
      </c>
      <c r="D95" s="5" t="s">
        <v>161</v>
      </c>
      <c r="E95" s="3"/>
      <c r="F95" s="3"/>
      <c r="G95" s="3"/>
    </row>
    <row r="96" spans="1:7">
      <c r="A96" s="4" t="s">
        <v>174</v>
      </c>
      <c r="B96" s="2" t="s">
        <v>48</v>
      </c>
      <c r="C96" s="2" t="s">
        <v>49</v>
      </c>
      <c r="D96" s="5" t="s">
        <v>161</v>
      </c>
      <c r="E96" s="2"/>
      <c r="F96" s="2"/>
      <c r="G96" s="2"/>
    </row>
    <row r="97" spans="1:7">
      <c r="A97" s="6" t="s">
        <v>175</v>
      </c>
      <c r="B97" s="3" t="s">
        <v>48</v>
      </c>
      <c r="C97" s="3" t="s">
        <v>49</v>
      </c>
      <c r="D97" s="7" t="s">
        <v>165</v>
      </c>
      <c r="E97" s="3"/>
      <c r="F97" s="3"/>
      <c r="G97" s="3"/>
    </row>
    <row r="98" spans="1:7">
      <c r="A98" s="4" t="s">
        <v>176</v>
      </c>
      <c r="B98" s="2" t="s">
        <v>48</v>
      </c>
      <c r="C98" s="2" t="s">
        <v>49</v>
      </c>
      <c r="D98" s="5" t="s">
        <v>161</v>
      </c>
      <c r="E98" s="2"/>
      <c r="F98" s="2"/>
      <c r="G98" s="2"/>
    </row>
    <row r="99" spans="1:7">
      <c r="A99" s="6" t="s">
        <v>177</v>
      </c>
      <c r="B99" s="3" t="s">
        <v>48</v>
      </c>
      <c r="C99" s="3" t="s">
        <v>49</v>
      </c>
      <c r="D99" s="5" t="s">
        <v>161</v>
      </c>
      <c r="E99" s="3"/>
      <c r="F99" s="3"/>
      <c r="G99" s="3"/>
    </row>
    <row r="100" spans="1:7">
      <c r="A100" s="4" t="s">
        <v>178</v>
      </c>
      <c r="B100" s="2" t="s">
        <v>48</v>
      </c>
      <c r="C100" s="2" t="s">
        <v>49</v>
      </c>
      <c r="D100" s="7" t="s">
        <v>165</v>
      </c>
      <c r="E100" s="2"/>
      <c r="F100" s="2"/>
      <c r="G100" s="2"/>
    </row>
    <row r="101" spans="1:7">
      <c r="A101" s="6" t="s">
        <v>179</v>
      </c>
      <c r="B101" s="3" t="s">
        <v>48</v>
      </c>
      <c r="C101" s="3" t="s">
        <v>49</v>
      </c>
      <c r="D101" s="5" t="s">
        <v>161</v>
      </c>
      <c r="E101" s="3"/>
      <c r="F101" s="3"/>
      <c r="G101" s="3"/>
    </row>
    <row r="102" spans="1:7">
      <c r="A102" s="4" t="s">
        <v>180</v>
      </c>
      <c r="B102" s="2" t="s">
        <v>48</v>
      </c>
      <c r="C102" s="2" t="s">
        <v>49</v>
      </c>
      <c r="D102" s="5" t="s">
        <v>161</v>
      </c>
      <c r="E102" s="2"/>
      <c r="F102" s="2"/>
      <c r="G102" s="2"/>
    </row>
    <row r="103" spans="1:7">
      <c r="A103" s="6" t="s">
        <v>181</v>
      </c>
      <c r="B103" s="3" t="s">
        <v>48</v>
      </c>
      <c r="C103" s="3" t="s">
        <v>49</v>
      </c>
      <c r="D103" s="5" t="s">
        <v>161</v>
      </c>
      <c r="E103" s="3"/>
      <c r="F103" s="3"/>
      <c r="G103" s="3"/>
    </row>
    <row r="104" spans="1:7">
      <c r="A104" s="4" t="s">
        <v>160</v>
      </c>
      <c r="B104" s="2" t="s">
        <v>53</v>
      </c>
      <c r="C104" s="2" t="s">
        <v>54</v>
      </c>
      <c r="D104" s="7" t="s">
        <v>165</v>
      </c>
      <c r="E104" s="2"/>
      <c r="F104" s="2"/>
      <c r="G104" s="2"/>
    </row>
    <row r="105" spans="1:7">
      <c r="A105" s="6" t="s">
        <v>162</v>
      </c>
      <c r="B105" s="3" t="s">
        <v>53</v>
      </c>
      <c r="C105" s="3" t="s">
        <v>54</v>
      </c>
      <c r="D105" s="5" t="s">
        <v>161</v>
      </c>
      <c r="E105" s="3"/>
      <c r="F105" s="3"/>
      <c r="G105" s="3"/>
    </row>
    <row r="106" spans="1:7">
      <c r="A106" s="4" t="s">
        <v>163</v>
      </c>
      <c r="B106" s="2" t="s">
        <v>53</v>
      </c>
      <c r="C106" s="2" t="s">
        <v>54</v>
      </c>
      <c r="D106" s="7" t="s">
        <v>165</v>
      </c>
      <c r="E106" s="2"/>
      <c r="F106" s="2"/>
      <c r="G106" s="2"/>
    </row>
    <row r="107" spans="1:7">
      <c r="A107" s="6" t="s">
        <v>164</v>
      </c>
      <c r="B107" s="3" t="s">
        <v>53</v>
      </c>
      <c r="C107" s="3" t="s">
        <v>54</v>
      </c>
      <c r="D107" s="7" t="s">
        <v>165</v>
      </c>
      <c r="E107" s="3"/>
      <c r="F107" s="3"/>
      <c r="G107" s="3"/>
    </row>
    <row r="108" spans="1:7">
      <c r="A108" s="4" t="s">
        <v>166</v>
      </c>
      <c r="B108" s="2" t="s">
        <v>53</v>
      </c>
      <c r="C108" s="2" t="s">
        <v>54</v>
      </c>
      <c r="D108" s="5" t="s">
        <v>161</v>
      </c>
      <c r="E108" s="2"/>
      <c r="F108" s="2"/>
      <c r="G108" s="2"/>
    </row>
    <row r="109" spans="1:7">
      <c r="A109" s="6" t="s">
        <v>167</v>
      </c>
      <c r="B109" s="3" t="s">
        <v>53</v>
      </c>
      <c r="C109" s="3" t="s">
        <v>54</v>
      </c>
      <c r="D109" s="5" t="s">
        <v>161</v>
      </c>
      <c r="E109" s="3"/>
      <c r="F109" s="3"/>
      <c r="G109" s="3"/>
    </row>
    <row r="110" spans="1:7">
      <c r="A110" s="4" t="s">
        <v>168</v>
      </c>
      <c r="B110" s="2" t="s">
        <v>53</v>
      </c>
      <c r="C110" s="2" t="s">
        <v>54</v>
      </c>
      <c r="D110" s="5" t="s">
        <v>161</v>
      </c>
      <c r="E110" s="2"/>
      <c r="F110" s="2"/>
      <c r="G110" s="2"/>
    </row>
    <row r="111" spans="1:7">
      <c r="A111" s="6" t="s">
        <v>169</v>
      </c>
      <c r="B111" s="3" t="s">
        <v>53</v>
      </c>
      <c r="C111" s="3" t="s">
        <v>54</v>
      </c>
      <c r="D111" s="5" t="s">
        <v>161</v>
      </c>
      <c r="E111" s="3"/>
      <c r="F111" s="3"/>
      <c r="G111" s="3"/>
    </row>
    <row r="112" spans="1:7">
      <c r="A112" s="4" t="s">
        <v>170</v>
      </c>
      <c r="B112" s="2" t="s">
        <v>53</v>
      </c>
      <c r="C112" s="2" t="s">
        <v>54</v>
      </c>
      <c r="D112" s="7" t="s">
        <v>165</v>
      </c>
      <c r="E112" s="2"/>
      <c r="F112" s="2"/>
      <c r="G112" s="2"/>
    </row>
    <row r="113" spans="1:7">
      <c r="A113" s="6" t="s">
        <v>171</v>
      </c>
      <c r="B113" s="3" t="s">
        <v>53</v>
      </c>
      <c r="C113" s="3" t="s">
        <v>54</v>
      </c>
      <c r="D113" s="5" t="s">
        <v>161</v>
      </c>
      <c r="E113" s="3"/>
      <c r="F113" s="3"/>
      <c r="G113" s="3"/>
    </row>
    <row r="114" spans="1:7">
      <c r="A114" s="4" t="s">
        <v>172</v>
      </c>
      <c r="B114" s="2" t="s">
        <v>53</v>
      </c>
      <c r="C114" s="2" t="s">
        <v>54</v>
      </c>
      <c r="D114" s="5" t="s">
        <v>161</v>
      </c>
      <c r="E114" s="2"/>
      <c r="F114" s="2"/>
      <c r="G114" s="2"/>
    </row>
    <row r="115" spans="1:7">
      <c r="A115" s="6" t="s">
        <v>173</v>
      </c>
      <c r="B115" s="3" t="s">
        <v>53</v>
      </c>
      <c r="C115" s="3" t="s">
        <v>54</v>
      </c>
      <c r="D115" s="5" t="s">
        <v>161</v>
      </c>
      <c r="E115" s="3"/>
      <c r="F115" s="3"/>
      <c r="G115" s="3"/>
    </row>
    <row r="116" spans="1:7">
      <c r="A116" s="4" t="s">
        <v>174</v>
      </c>
      <c r="B116" s="2" t="s">
        <v>53</v>
      </c>
      <c r="C116" s="2" t="s">
        <v>54</v>
      </c>
      <c r="D116" s="5" t="s">
        <v>161</v>
      </c>
      <c r="E116" s="2"/>
      <c r="F116" s="2"/>
      <c r="G116" s="2"/>
    </row>
    <row r="117" spans="1:7">
      <c r="A117" s="6" t="s">
        <v>175</v>
      </c>
      <c r="B117" s="3" t="s">
        <v>53</v>
      </c>
      <c r="C117" s="3" t="s">
        <v>54</v>
      </c>
      <c r="D117" s="5" t="s">
        <v>161</v>
      </c>
      <c r="E117" s="3"/>
      <c r="F117" s="3"/>
      <c r="G117" s="3"/>
    </row>
    <row r="118" spans="1:7">
      <c r="A118" s="4" t="s">
        <v>176</v>
      </c>
      <c r="B118" s="2" t="s">
        <v>53</v>
      </c>
      <c r="C118" s="2" t="s">
        <v>54</v>
      </c>
      <c r="D118" s="5" t="s">
        <v>161</v>
      </c>
      <c r="E118" s="2"/>
      <c r="F118" s="2"/>
      <c r="G118" s="2"/>
    </row>
    <row r="119" spans="1:7">
      <c r="A119" s="6" t="s">
        <v>177</v>
      </c>
      <c r="B119" s="3" t="s">
        <v>53</v>
      </c>
      <c r="C119" s="3" t="s">
        <v>54</v>
      </c>
      <c r="D119" s="5" t="s">
        <v>161</v>
      </c>
      <c r="E119" s="3"/>
      <c r="F119" s="3"/>
      <c r="G119" s="3"/>
    </row>
    <row r="120" spans="1:7">
      <c r="A120" s="4" t="s">
        <v>178</v>
      </c>
      <c r="B120" s="2" t="s">
        <v>53</v>
      </c>
      <c r="C120" s="2" t="s">
        <v>54</v>
      </c>
      <c r="D120" s="5" t="s">
        <v>161</v>
      </c>
      <c r="E120" s="2"/>
      <c r="F120" s="2"/>
      <c r="G120" s="2"/>
    </row>
    <row r="121" spans="1:7">
      <c r="A121" s="6" t="s">
        <v>179</v>
      </c>
      <c r="B121" s="3" t="s">
        <v>53</v>
      </c>
      <c r="C121" s="3" t="s">
        <v>54</v>
      </c>
      <c r="D121" s="5" t="s">
        <v>161</v>
      </c>
      <c r="E121" s="3"/>
      <c r="F121" s="3"/>
      <c r="G121" s="3"/>
    </row>
    <row r="122" spans="1:7">
      <c r="A122" s="4" t="s">
        <v>180</v>
      </c>
      <c r="B122" s="2" t="s">
        <v>53</v>
      </c>
      <c r="C122" s="2" t="s">
        <v>54</v>
      </c>
      <c r="D122" s="5" t="s">
        <v>161</v>
      </c>
      <c r="E122" s="2"/>
      <c r="F122" s="2"/>
      <c r="G122" s="2"/>
    </row>
    <row r="123" spans="1:7">
      <c r="A123" s="6" t="s">
        <v>181</v>
      </c>
      <c r="B123" s="3" t="s">
        <v>53</v>
      </c>
      <c r="C123" s="3" t="s">
        <v>54</v>
      </c>
      <c r="D123" s="5" t="s">
        <v>161</v>
      </c>
      <c r="E123" s="3"/>
      <c r="F123" s="3"/>
      <c r="G123" s="3"/>
    </row>
    <row r="124" spans="1:7">
      <c r="A124" s="4" t="s">
        <v>160</v>
      </c>
      <c r="B124" s="2" t="s">
        <v>57</v>
      </c>
      <c r="C124" s="2" t="s">
        <v>58</v>
      </c>
      <c r="D124" s="5" t="s">
        <v>161</v>
      </c>
      <c r="E124" s="2"/>
      <c r="F124" s="2"/>
      <c r="G124" s="2"/>
    </row>
    <row r="125" spans="1:7">
      <c r="A125" s="6" t="s">
        <v>162</v>
      </c>
      <c r="B125" s="3" t="s">
        <v>57</v>
      </c>
      <c r="C125" s="3" t="s">
        <v>58</v>
      </c>
      <c r="D125" s="5" t="s">
        <v>161</v>
      </c>
      <c r="E125" s="3"/>
      <c r="F125" s="3"/>
      <c r="G125" s="3"/>
    </row>
    <row r="126" spans="1:7">
      <c r="A126" s="4" t="s">
        <v>163</v>
      </c>
      <c r="B126" s="2" t="s">
        <v>57</v>
      </c>
      <c r="C126" s="2" t="s">
        <v>58</v>
      </c>
      <c r="D126" s="7" t="s">
        <v>165</v>
      </c>
      <c r="E126" s="2"/>
      <c r="F126" s="2"/>
      <c r="G126" s="2"/>
    </row>
    <row r="127" spans="1:7">
      <c r="A127" s="6" t="s">
        <v>164</v>
      </c>
      <c r="B127" s="3" t="s">
        <v>57</v>
      </c>
      <c r="C127" s="3" t="s">
        <v>58</v>
      </c>
      <c r="D127" s="7" t="s">
        <v>165</v>
      </c>
      <c r="E127" s="3"/>
      <c r="F127" s="3"/>
      <c r="G127" s="3"/>
    </row>
    <row r="128" spans="1:7">
      <c r="A128" s="4" t="s">
        <v>166</v>
      </c>
      <c r="B128" s="2" t="s">
        <v>57</v>
      </c>
      <c r="C128" s="2" t="s">
        <v>58</v>
      </c>
      <c r="D128" s="5" t="s">
        <v>161</v>
      </c>
      <c r="E128" s="2"/>
      <c r="F128" s="2"/>
      <c r="G128" s="2"/>
    </row>
    <row r="129" spans="1:7">
      <c r="A129" s="6" t="s">
        <v>167</v>
      </c>
      <c r="B129" s="3" t="s">
        <v>57</v>
      </c>
      <c r="C129" s="3" t="s">
        <v>58</v>
      </c>
      <c r="D129" s="5" t="s">
        <v>161</v>
      </c>
      <c r="E129" s="3"/>
      <c r="F129" s="3"/>
      <c r="G129" s="3"/>
    </row>
    <row r="130" spans="1:7">
      <c r="A130" s="4" t="s">
        <v>168</v>
      </c>
      <c r="B130" s="2" t="s">
        <v>57</v>
      </c>
      <c r="C130" s="2" t="s">
        <v>58</v>
      </c>
      <c r="D130" s="5" t="s">
        <v>161</v>
      </c>
      <c r="E130" s="2"/>
      <c r="F130" s="2"/>
      <c r="G130" s="2"/>
    </row>
    <row r="131" spans="1:7">
      <c r="A131" s="6" t="s">
        <v>169</v>
      </c>
      <c r="B131" s="3" t="s">
        <v>57</v>
      </c>
      <c r="C131" s="3" t="s">
        <v>58</v>
      </c>
      <c r="D131" s="7" t="s">
        <v>165</v>
      </c>
      <c r="E131" s="3"/>
      <c r="F131" s="3"/>
      <c r="G131" s="3"/>
    </row>
    <row r="132" spans="1:7">
      <c r="A132" s="4" t="s">
        <v>170</v>
      </c>
      <c r="B132" s="2" t="s">
        <v>57</v>
      </c>
      <c r="C132" s="2" t="s">
        <v>58</v>
      </c>
      <c r="D132" s="5" t="s">
        <v>161</v>
      </c>
      <c r="E132" s="2"/>
      <c r="F132" s="2"/>
      <c r="G132" s="2"/>
    </row>
    <row r="133" spans="1:7">
      <c r="A133" s="6" t="s">
        <v>171</v>
      </c>
      <c r="B133" s="3" t="s">
        <v>57</v>
      </c>
      <c r="C133" s="3" t="s">
        <v>58</v>
      </c>
      <c r="D133" s="5" t="s">
        <v>161</v>
      </c>
      <c r="E133" s="3"/>
      <c r="F133" s="3"/>
      <c r="G133" s="3"/>
    </row>
    <row r="134" spans="1:7">
      <c r="A134" s="4" t="s">
        <v>172</v>
      </c>
      <c r="B134" s="2" t="s">
        <v>57</v>
      </c>
      <c r="C134" s="2" t="s">
        <v>58</v>
      </c>
      <c r="D134" s="5" t="s">
        <v>161</v>
      </c>
      <c r="E134" s="2"/>
      <c r="F134" s="2"/>
      <c r="G134" s="2"/>
    </row>
    <row r="135" spans="1:7">
      <c r="A135" s="6" t="s">
        <v>173</v>
      </c>
      <c r="B135" s="3" t="s">
        <v>57</v>
      </c>
      <c r="C135" s="3" t="s">
        <v>58</v>
      </c>
      <c r="D135" s="5" t="s">
        <v>161</v>
      </c>
      <c r="E135" s="3"/>
      <c r="F135" s="3"/>
      <c r="G135" s="3"/>
    </row>
    <row r="136" spans="1:7">
      <c r="A136" s="4" t="s">
        <v>174</v>
      </c>
      <c r="B136" s="2" t="s">
        <v>57</v>
      </c>
      <c r="C136" s="2" t="s">
        <v>58</v>
      </c>
      <c r="D136" s="5" t="s">
        <v>161</v>
      </c>
      <c r="E136" s="2"/>
      <c r="F136" s="2"/>
      <c r="G136" s="2"/>
    </row>
    <row r="137" spans="1:7">
      <c r="A137" s="6" t="s">
        <v>175</v>
      </c>
      <c r="B137" s="3" t="s">
        <v>57</v>
      </c>
      <c r="C137" s="3" t="s">
        <v>58</v>
      </c>
      <c r="D137" s="7" t="s">
        <v>165</v>
      </c>
      <c r="E137" s="3"/>
      <c r="F137" s="3"/>
      <c r="G137" s="3"/>
    </row>
    <row r="138" spans="1:7">
      <c r="A138" s="4" t="s">
        <v>176</v>
      </c>
      <c r="B138" s="2" t="s">
        <v>57</v>
      </c>
      <c r="C138" s="2" t="s">
        <v>58</v>
      </c>
      <c r="D138" s="5" t="s">
        <v>161</v>
      </c>
      <c r="E138" s="2"/>
      <c r="F138" s="2"/>
      <c r="G138" s="2"/>
    </row>
    <row r="139" spans="1:7">
      <c r="A139" s="6" t="s">
        <v>177</v>
      </c>
      <c r="B139" s="3" t="s">
        <v>57</v>
      </c>
      <c r="C139" s="3" t="s">
        <v>58</v>
      </c>
      <c r="D139" s="5" t="s">
        <v>161</v>
      </c>
      <c r="E139" s="3"/>
      <c r="F139" s="3"/>
      <c r="G139" s="3"/>
    </row>
    <row r="140" spans="1:7">
      <c r="A140" s="4" t="s">
        <v>178</v>
      </c>
      <c r="B140" s="2" t="s">
        <v>57</v>
      </c>
      <c r="C140" s="2" t="s">
        <v>58</v>
      </c>
      <c r="D140" s="5" t="s">
        <v>161</v>
      </c>
      <c r="E140" s="2"/>
      <c r="F140" s="2"/>
      <c r="G140" s="2"/>
    </row>
    <row r="141" spans="1:7">
      <c r="A141" s="6" t="s">
        <v>179</v>
      </c>
      <c r="B141" s="3" t="s">
        <v>57</v>
      </c>
      <c r="C141" s="3" t="s">
        <v>58</v>
      </c>
      <c r="D141" s="5" t="s">
        <v>161</v>
      </c>
      <c r="E141" s="3"/>
      <c r="F141" s="3"/>
      <c r="G141" s="3"/>
    </row>
    <row r="142" spans="1:7">
      <c r="A142" s="4" t="s">
        <v>180</v>
      </c>
      <c r="B142" s="2" t="s">
        <v>57</v>
      </c>
      <c r="C142" s="2" t="s">
        <v>58</v>
      </c>
      <c r="D142" s="5" t="s">
        <v>161</v>
      </c>
      <c r="E142" s="2"/>
      <c r="F142" s="2"/>
      <c r="G142" s="2"/>
    </row>
    <row r="143" spans="1:7">
      <c r="A143" s="6" t="s">
        <v>181</v>
      </c>
      <c r="B143" s="3" t="s">
        <v>57</v>
      </c>
      <c r="C143" s="3" t="s">
        <v>58</v>
      </c>
      <c r="D143" s="5" t="s">
        <v>161</v>
      </c>
      <c r="E143" s="3"/>
      <c r="F143" s="3"/>
      <c r="G143" s="3"/>
    </row>
    <row r="144" spans="1:7">
      <c r="A144" s="4" t="s">
        <v>160</v>
      </c>
      <c r="B144" s="2" t="s">
        <v>61</v>
      </c>
      <c r="C144" s="2" t="s">
        <v>62</v>
      </c>
      <c r="D144" s="5" t="s">
        <v>161</v>
      </c>
      <c r="E144" s="2"/>
      <c r="F144" s="2"/>
      <c r="G144" s="2"/>
    </row>
    <row r="145" spans="1:7">
      <c r="A145" s="6" t="s">
        <v>162</v>
      </c>
      <c r="B145" s="3" t="s">
        <v>61</v>
      </c>
      <c r="C145" s="3" t="s">
        <v>62</v>
      </c>
      <c r="D145" s="5" t="s">
        <v>161</v>
      </c>
      <c r="E145" s="3"/>
      <c r="F145" s="3"/>
      <c r="G145" s="3"/>
    </row>
    <row r="146" spans="1:7">
      <c r="A146" s="4" t="s">
        <v>163</v>
      </c>
      <c r="B146" s="2" t="s">
        <v>61</v>
      </c>
      <c r="C146" s="2" t="s">
        <v>62</v>
      </c>
      <c r="D146" s="5" t="s">
        <v>161</v>
      </c>
      <c r="E146" s="2"/>
      <c r="F146" s="2"/>
      <c r="G146" s="2"/>
    </row>
    <row r="147" spans="1:7">
      <c r="A147" s="6" t="s">
        <v>164</v>
      </c>
      <c r="B147" s="3" t="s">
        <v>61</v>
      </c>
      <c r="C147" s="3" t="s">
        <v>62</v>
      </c>
      <c r="D147" s="7" t="s">
        <v>165</v>
      </c>
      <c r="E147" s="3"/>
      <c r="F147" s="3"/>
      <c r="G147" s="3"/>
    </row>
    <row r="148" spans="1:7">
      <c r="A148" s="4" t="s">
        <v>166</v>
      </c>
      <c r="B148" s="2" t="s">
        <v>61</v>
      </c>
      <c r="C148" s="2" t="s">
        <v>62</v>
      </c>
      <c r="D148" s="5" t="s">
        <v>161</v>
      </c>
      <c r="E148" s="2"/>
      <c r="F148" s="2"/>
      <c r="G148" s="2"/>
    </row>
    <row r="149" spans="1:7">
      <c r="A149" s="6" t="s">
        <v>167</v>
      </c>
      <c r="B149" s="3" t="s">
        <v>61</v>
      </c>
      <c r="C149" s="3" t="s">
        <v>62</v>
      </c>
      <c r="D149" s="5" t="s">
        <v>161</v>
      </c>
      <c r="E149" s="3"/>
      <c r="F149" s="3"/>
      <c r="G149" s="3"/>
    </row>
    <row r="150" spans="1:7">
      <c r="A150" s="4" t="s">
        <v>168</v>
      </c>
      <c r="B150" s="2" t="s">
        <v>61</v>
      </c>
      <c r="C150" s="2" t="s">
        <v>62</v>
      </c>
      <c r="D150" s="5" t="s">
        <v>161</v>
      </c>
      <c r="E150" s="2"/>
      <c r="F150" s="2"/>
      <c r="G150" s="2"/>
    </row>
    <row r="151" spans="1:7">
      <c r="A151" s="6" t="s">
        <v>169</v>
      </c>
      <c r="B151" s="3" t="s">
        <v>61</v>
      </c>
      <c r="C151" s="3" t="s">
        <v>62</v>
      </c>
      <c r="D151" s="5" t="s">
        <v>161</v>
      </c>
      <c r="E151" s="3"/>
      <c r="F151" s="3"/>
      <c r="G151" s="3"/>
    </row>
    <row r="152" spans="1:7">
      <c r="A152" s="4" t="s">
        <v>170</v>
      </c>
      <c r="B152" s="2" t="s">
        <v>61</v>
      </c>
      <c r="C152" s="2" t="s">
        <v>62</v>
      </c>
      <c r="D152" s="5" t="s">
        <v>161</v>
      </c>
      <c r="E152" s="2"/>
      <c r="F152" s="2"/>
      <c r="G152" s="2"/>
    </row>
    <row r="153" spans="1:7">
      <c r="A153" s="6" t="s">
        <v>171</v>
      </c>
      <c r="B153" s="3" t="s">
        <v>61</v>
      </c>
      <c r="C153" s="3" t="s">
        <v>62</v>
      </c>
      <c r="D153" s="7" t="s">
        <v>165</v>
      </c>
      <c r="E153" s="3"/>
      <c r="F153" s="3"/>
      <c r="G153" s="3"/>
    </row>
    <row r="154" spans="1:7">
      <c r="A154" s="4" t="s">
        <v>172</v>
      </c>
      <c r="B154" s="2" t="s">
        <v>61</v>
      </c>
      <c r="C154" s="2" t="s">
        <v>62</v>
      </c>
      <c r="D154" s="5" t="s">
        <v>161</v>
      </c>
      <c r="E154" s="2"/>
      <c r="F154" s="2"/>
      <c r="G154" s="2"/>
    </row>
    <row r="155" spans="1:7">
      <c r="A155" s="6" t="s">
        <v>173</v>
      </c>
      <c r="B155" s="3" t="s">
        <v>61</v>
      </c>
      <c r="C155" s="3" t="s">
        <v>62</v>
      </c>
      <c r="D155" s="7" t="s">
        <v>165</v>
      </c>
      <c r="E155" s="3"/>
      <c r="F155" s="3"/>
      <c r="G155" s="3"/>
    </row>
    <row r="156" spans="1:7">
      <c r="A156" s="4" t="s">
        <v>174</v>
      </c>
      <c r="B156" s="2" t="s">
        <v>61</v>
      </c>
      <c r="C156" s="2" t="s">
        <v>62</v>
      </c>
      <c r="D156" s="5" t="s">
        <v>161</v>
      </c>
      <c r="E156" s="2"/>
      <c r="F156" s="2"/>
      <c r="G156" s="2"/>
    </row>
    <row r="157" spans="1:7">
      <c r="A157" s="6" t="s">
        <v>175</v>
      </c>
      <c r="B157" s="3" t="s">
        <v>61</v>
      </c>
      <c r="C157" s="3" t="s">
        <v>62</v>
      </c>
      <c r="D157" s="5" t="s">
        <v>161</v>
      </c>
      <c r="E157" s="3"/>
      <c r="F157" s="3"/>
      <c r="G157" s="3"/>
    </row>
    <row r="158" spans="1:7">
      <c r="A158" s="4" t="s">
        <v>176</v>
      </c>
      <c r="B158" s="2" t="s">
        <v>61</v>
      </c>
      <c r="C158" s="2" t="s">
        <v>62</v>
      </c>
      <c r="D158" s="5" t="s">
        <v>161</v>
      </c>
      <c r="E158" s="2"/>
      <c r="F158" s="2"/>
      <c r="G158" s="2"/>
    </row>
    <row r="159" spans="1:7">
      <c r="A159" s="6" t="s">
        <v>177</v>
      </c>
      <c r="B159" s="3" t="s">
        <v>61</v>
      </c>
      <c r="C159" s="3" t="s">
        <v>62</v>
      </c>
      <c r="D159" s="5" t="s">
        <v>161</v>
      </c>
      <c r="E159" s="3"/>
      <c r="F159" s="3"/>
      <c r="G159" s="3"/>
    </row>
    <row r="160" spans="1:7">
      <c r="A160" s="4" t="s">
        <v>178</v>
      </c>
      <c r="B160" s="2" t="s">
        <v>61</v>
      </c>
      <c r="C160" s="2" t="s">
        <v>62</v>
      </c>
      <c r="D160" s="5" t="s">
        <v>161</v>
      </c>
      <c r="E160" s="2"/>
      <c r="F160" s="2"/>
      <c r="G160" s="2"/>
    </row>
    <row r="161" spans="1:7">
      <c r="A161" s="6" t="s">
        <v>179</v>
      </c>
      <c r="B161" s="3" t="s">
        <v>61</v>
      </c>
      <c r="C161" s="3" t="s">
        <v>62</v>
      </c>
      <c r="D161" s="5" t="s">
        <v>161</v>
      </c>
      <c r="E161" s="3"/>
      <c r="F161" s="3"/>
      <c r="G161" s="3"/>
    </row>
    <row r="162" spans="1:7">
      <c r="A162" s="4" t="s">
        <v>180</v>
      </c>
      <c r="B162" s="2" t="s">
        <v>61</v>
      </c>
      <c r="C162" s="2" t="s">
        <v>62</v>
      </c>
      <c r="D162" s="5" t="s">
        <v>161</v>
      </c>
      <c r="E162" s="2"/>
      <c r="F162" s="2"/>
      <c r="G162" s="2"/>
    </row>
    <row r="163" spans="1:7">
      <c r="A163" s="6" t="s">
        <v>181</v>
      </c>
      <c r="B163" s="3" t="s">
        <v>61</v>
      </c>
      <c r="C163" s="3" t="s">
        <v>62</v>
      </c>
      <c r="D163" s="5" t="s">
        <v>161</v>
      </c>
      <c r="E163" s="3"/>
      <c r="F163" s="3"/>
      <c r="G163" s="3"/>
    </row>
    <row r="164" spans="1:7">
      <c r="A164" s="4" t="s">
        <v>160</v>
      </c>
      <c r="B164" s="2" t="s">
        <v>65</v>
      </c>
      <c r="C164" s="2" t="s">
        <v>66</v>
      </c>
      <c r="D164" s="5" t="s">
        <v>161</v>
      </c>
      <c r="E164" s="2"/>
      <c r="F164" s="2"/>
      <c r="G164" s="2"/>
    </row>
    <row r="165" spans="1:7">
      <c r="A165" s="6" t="s">
        <v>162</v>
      </c>
      <c r="B165" s="3" t="s">
        <v>65</v>
      </c>
      <c r="C165" s="3" t="s">
        <v>66</v>
      </c>
      <c r="D165" s="5" t="s">
        <v>161</v>
      </c>
      <c r="E165" s="3"/>
      <c r="F165" s="3"/>
      <c r="G165" s="3"/>
    </row>
    <row r="166" spans="1:7">
      <c r="A166" s="4" t="s">
        <v>163</v>
      </c>
      <c r="B166" s="2" t="s">
        <v>65</v>
      </c>
      <c r="C166" s="2" t="s">
        <v>66</v>
      </c>
      <c r="D166" s="5" t="s">
        <v>161</v>
      </c>
      <c r="E166" s="2"/>
      <c r="F166" s="2"/>
      <c r="G166" s="2"/>
    </row>
    <row r="167" spans="1:7">
      <c r="A167" s="6" t="s">
        <v>164</v>
      </c>
      <c r="B167" s="3" t="s">
        <v>65</v>
      </c>
      <c r="C167" s="3" t="s">
        <v>66</v>
      </c>
      <c r="D167" s="5" t="s">
        <v>161</v>
      </c>
      <c r="E167" s="3"/>
      <c r="F167" s="3"/>
      <c r="G167" s="3"/>
    </row>
    <row r="168" spans="1:7">
      <c r="A168" s="4" t="s">
        <v>166</v>
      </c>
      <c r="B168" s="2" t="s">
        <v>65</v>
      </c>
      <c r="C168" s="2" t="s">
        <v>66</v>
      </c>
      <c r="D168" s="5" t="s">
        <v>161</v>
      </c>
      <c r="E168" s="2"/>
      <c r="F168" s="2"/>
      <c r="G168" s="2"/>
    </row>
    <row r="169" spans="1:7">
      <c r="A169" s="6" t="s">
        <v>167</v>
      </c>
      <c r="B169" s="3" t="s">
        <v>65</v>
      </c>
      <c r="C169" s="3" t="s">
        <v>66</v>
      </c>
      <c r="D169" s="5" t="s">
        <v>161</v>
      </c>
      <c r="E169" s="3"/>
      <c r="F169" s="3"/>
      <c r="G169" s="3"/>
    </row>
    <row r="170" spans="1:7">
      <c r="A170" s="4" t="s">
        <v>168</v>
      </c>
      <c r="B170" s="2" t="s">
        <v>65</v>
      </c>
      <c r="C170" s="2" t="s">
        <v>66</v>
      </c>
      <c r="D170" s="5" t="s">
        <v>161</v>
      </c>
      <c r="E170" s="2"/>
      <c r="F170" s="2"/>
      <c r="G170" s="2"/>
    </row>
    <row r="171" spans="1:7">
      <c r="A171" s="6" t="s">
        <v>169</v>
      </c>
      <c r="B171" s="3" t="s">
        <v>65</v>
      </c>
      <c r="C171" s="3" t="s">
        <v>66</v>
      </c>
      <c r="D171" s="7" t="s">
        <v>165</v>
      </c>
      <c r="E171" s="3"/>
      <c r="F171" s="3"/>
      <c r="G171" s="3"/>
    </row>
    <row r="172" spans="1:7">
      <c r="A172" s="4" t="s">
        <v>170</v>
      </c>
      <c r="B172" s="2" t="s">
        <v>65</v>
      </c>
      <c r="C172" s="2" t="s">
        <v>66</v>
      </c>
      <c r="D172" s="5" t="s">
        <v>161</v>
      </c>
      <c r="E172" s="2"/>
      <c r="F172" s="2"/>
      <c r="G172" s="2"/>
    </row>
    <row r="173" spans="1:7">
      <c r="A173" s="6" t="s">
        <v>171</v>
      </c>
      <c r="B173" s="3" t="s">
        <v>65</v>
      </c>
      <c r="C173" s="3" t="s">
        <v>66</v>
      </c>
      <c r="D173" s="7" t="s">
        <v>165</v>
      </c>
      <c r="E173" s="3"/>
      <c r="F173" s="3"/>
      <c r="G173" s="3"/>
    </row>
    <row r="174" spans="1:7">
      <c r="A174" s="4" t="s">
        <v>172</v>
      </c>
      <c r="B174" s="2" t="s">
        <v>65</v>
      </c>
      <c r="C174" s="2" t="s">
        <v>66</v>
      </c>
      <c r="D174" s="5" t="s">
        <v>161</v>
      </c>
      <c r="E174" s="2"/>
      <c r="F174" s="2"/>
      <c r="G174" s="2"/>
    </row>
    <row r="175" spans="1:7">
      <c r="A175" s="6" t="s">
        <v>173</v>
      </c>
      <c r="B175" s="3" t="s">
        <v>65</v>
      </c>
      <c r="C175" s="3" t="s">
        <v>66</v>
      </c>
      <c r="D175" s="5" t="s">
        <v>161</v>
      </c>
      <c r="E175" s="3"/>
      <c r="F175" s="3"/>
      <c r="G175" s="3"/>
    </row>
    <row r="176" spans="1:7">
      <c r="A176" s="4" t="s">
        <v>174</v>
      </c>
      <c r="B176" s="2" t="s">
        <v>65</v>
      </c>
      <c r="C176" s="2" t="s">
        <v>66</v>
      </c>
      <c r="D176" s="5" t="s">
        <v>161</v>
      </c>
      <c r="E176" s="2"/>
      <c r="F176" s="2"/>
      <c r="G176" s="2"/>
    </row>
    <row r="177" spans="1:7">
      <c r="A177" s="6" t="s">
        <v>175</v>
      </c>
      <c r="B177" s="3" t="s">
        <v>65</v>
      </c>
      <c r="C177" s="3" t="s">
        <v>66</v>
      </c>
      <c r="D177" s="5" t="s">
        <v>161</v>
      </c>
      <c r="E177" s="3"/>
      <c r="F177" s="3"/>
      <c r="G177" s="3"/>
    </row>
    <row r="178" spans="1:7">
      <c r="A178" s="4" t="s">
        <v>176</v>
      </c>
      <c r="B178" s="2" t="s">
        <v>65</v>
      </c>
      <c r="C178" s="2" t="s">
        <v>66</v>
      </c>
      <c r="D178" s="5" t="s">
        <v>161</v>
      </c>
      <c r="E178" s="2"/>
      <c r="F178" s="2"/>
      <c r="G178" s="2"/>
    </row>
    <row r="179" spans="1:7">
      <c r="A179" s="6" t="s">
        <v>177</v>
      </c>
      <c r="B179" s="3" t="s">
        <v>65</v>
      </c>
      <c r="C179" s="3" t="s">
        <v>66</v>
      </c>
      <c r="D179" s="5" t="s">
        <v>161</v>
      </c>
      <c r="E179" s="3"/>
      <c r="F179" s="3"/>
      <c r="G179" s="3"/>
    </row>
    <row r="180" spans="1:7">
      <c r="A180" s="4" t="s">
        <v>178</v>
      </c>
      <c r="B180" s="2" t="s">
        <v>65</v>
      </c>
      <c r="C180" s="2" t="s">
        <v>66</v>
      </c>
      <c r="D180" s="5" t="s">
        <v>161</v>
      </c>
      <c r="E180" s="2"/>
      <c r="F180" s="2"/>
      <c r="G180" s="2"/>
    </row>
    <row r="181" spans="1:7">
      <c r="A181" s="6" t="s">
        <v>179</v>
      </c>
      <c r="B181" s="3" t="s">
        <v>65</v>
      </c>
      <c r="C181" s="3" t="s">
        <v>66</v>
      </c>
      <c r="D181" s="7" t="s">
        <v>165</v>
      </c>
      <c r="E181" s="3"/>
      <c r="F181" s="3"/>
      <c r="G181" s="3"/>
    </row>
    <row r="182" spans="1:7">
      <c r="A182" s="4" t="s">
        <v>180</v>
      </c>
      <c r="B182" s="2" t="s">
        <v>65</v>
      </c>
      <c r="C182" s="2" t="s">
        <v>66</v>
      </c>
      <c r="D182" s="7" t="s">
        <v>165</v>
      </c>
      <c r="E182" s="2"/>
      <c r="F182" s="2"/>
      <c r="G182" s="2"/>
    </row>
    <row r="183" spans="1:7">
      <c r="A183" s="6" t="s">
        <v>181</v>
      </c>
      <c r="B183" s="3" t="s">
        <v>65</v>
      </c>
      <c r="C183" s="3" t="s">
        <v>66</v>
      </c>
      <c r="D183" s="5" t="s">
        <v>161</v>
      </c>
      <c r="E183" s="3"/>
      <c r="F183" s="3"/>
      <c r="G183" s="3"/>
    </row>
    <row r="184" spans="1:7">
      <c r="A184" s="4" t="s">
        <v>160</v>
      </c>
      <c r="B184" s="2" t="s">
        <v>69</v>
      </c>
      <c r="C184" s="2" t="s">
        <v>70</v>
      </c>
      <c r="D184" s="7" t="s">
        <v>165</v>
      </c>
      <c r="E184" s="2"/>
      <c r="F184" s="2"/>
      <c r="G184" s="2"/>
    </row>
    <row r="185" spans="1:7">
      <c r="A185" s="6" t="s">
        <v>162</v>
      </c>
      <c r="B185" s="3" t="s">
        <v>69</v>
      </c>
      <c r="C185" s="3" t="s">
        <v>70</v>
      </c>
      <c r="D185" s="5" t="s">
        <v>161</v>
      </c>
      <c r="E185" s="3"/>
      <c r="F185" s="3"/>
      <c r="G185" s="3"/>
    </row>
    <row r="186" spans="1:7">
      <c r="A186" s="4" t="s">
        <v>163</v>
      </c>
      <c r="B186" s="2" t="s">
        <v>69</v>
      </c>
      <c r="C186" s="2" t="s">
        <v>70</v>
      </c>
      <c r="D186" s="5" t="s">
        <v>161</v>
      </c>
      <c r="E186" s="2"/>
      <c r="F186" s="2"/>
      <c r="G186" s="2"/>
    </row>
    <row r="187" spans="1:7">
      <c r="A187" s="6" t="s">
        <v>164</v>
      </c>
      <c r="B187" s="3" t="s">
        <v>69</v>
      </c>
      <c r="C187" s="3" t="s">
        <v>70</v>
      </c>
      <c r="D187" s="5" t="s">
        <v>161</v>
      </c>
      <c r="E187" s="3"/>
      <c r="F187" s="3"/>
      <c r="G187" s="3"/>
    </row>
    <row r="188" spans="1:7">
      <c r="A188" s="4" t="s">
        <v>166</v>
      </c>
      <c r="B188" s="2" t="s">
        <v>69</v>
      </c>
      <c r="C188" s="2" t="s">
        <v>70</v>
      </c>
      <c r="D188" s="5" t="s">
        <v>161</v>
      </c>
      <c r="E188" s="2"/>
      <c r="F188" s="2"/>
      <c r="G188" s="2"/>
    </row>
    <row r="189" spans="1:7">
      <c r="A189" s="6" t="s">
        <v>167</v>
      </c>
      <c r="B189" s="3" t="s">
        <v>69</v>
      </c>
      <c r="C189" s="3" t="s">
        <v>70</v>
      </c>
      <c r="D189" s="5" t="s">
        <v>161</v>
      </c>
      <c r="E189" s="3"/>
      <c r="F189" s="3"/>
      <c r="G189" s="3"/>
    </row>
    <row r="190" spans="1:7">
      <c r="A190" s="4" t="s">
        <v>168</v>
      </c>
      <c r="B190" s="2" t="s">
        <v>69</v>
      </c>
      <c r="C190" s="2" t="s">
        <v>70</v>
      </c>
      <c r="D190" s="5" t="s">
        <v>161</v>
      </c>
      <c r="E190" s="2"/>
      <c r="F190" s="2"/>
      <c r="G190" s="2"/>
    </row>
    <row r="191" spans="1:7">
      <c r="A191" s="6" t="s">
        <v>169</v>
      </c>
      <c r="B191" s="3" t="s">
        <v>69</v>
      </c>
      <c r="C191" s="3" t="s">
        <v>70</v>
      </c>
      <c r="D191" s="5" t="s">
        <v>161</v>
      </c>
      <c r="E191" s="3"/>
      <c r="F191" s="3"/>
      <c r="G191" s="3"/>
    </row>
    <row r="192" spans="1:7">
      <c r="A192" s="4" t="s">
        <v>170</v>
      </c>
      <c r="B192" s="2" t="s">
        <v>69</v>
      </c>
      <c r="C192" s="2" t="s">
        <v>70</v>
      </c>
      <c r="D192" s="5" t="s">
        <v>161</v>
      </c>
      <c r="E192" s="2"/>
      <c r="F192" s="2"/>
      <c r="G192" s="2"/>
    </row>
    <row r="193" spans="1:7">
      <c r="A193" s="6" t="s">
        <v>171</v>
      </c>
      <c r="B193" s="3" t="s">
        <v>69</v>
      </c>
      <c r="C193" s="3" t="s">
        <v>70</v>
      </c>
      <c r="D193" s="5" t="s">
        <v>161</v>
      </c>
      <c r="E193" s="3"/>
      <c r="F193" s="3"/>
      <c r="G193" s="3"/>
    </row>
    <row r="194" spans="1:7">
      <c r="A194" s="4" t="s">
        <v>172</v>
      </c>
      <c r="B194" s="2" t="s">
        <v>69</v>
      </c>
      <c r="C194" s="2" t="s">
        <v>70</v>
      </c>
      <c r="D194" s="7" t="s">
        <v>165</v>
      </c>
      <c r="E194" s="2"/>
      <c r="F194" s="2"/>
      <c r="G194" s="2"/>
    </row>
    <row r="195" spans="1:7">
      <c r="A195" s="6" t="s">
        <v>173</v>
      </c>
      <c r="B195" s="3" t="s">
        <v>69</v>
      </c>
      <c r="C195" s="3" t="s">
        <v>70</v>
      </c>
      <c r="D195" s="5" t="s">
        <v>161</v>
      </c>
      <c r="E195" s="3"/>
      <c r="F195" s="3"/>
      <c r="G195" s="3"/>
    </row>
    <row r="196" spans="1:7">
      <c r="A196" s="4" t="s">
        <v>174</v>
      </c>
      <c r="B196" s="2" t="s">
        <v>69</v>
      </c>
      <c r="C196" s="2" t="s">
        <v>70</v>
      </c>
      <c r="D196" s="5" t="s">
        <v>161</v>
      </c>
      <c r="E196" s="2"/>
      <c r="F196" s="2"/>
      <c r="G196" s="2"/>
    </row>
    <row r="197" spans="1:7">
      <c r="A197" s="6" t="s">
        <v>175</v>
      </c>
      <c r="B197" s="3" t="s">
        <v>69</v>
      </c>
      <c r="C197" s="3" t="s">
        <v>70</v>
      </c>
      <c r="D197" s="5" t="s">
        <v>161</v>
      </c>
      <c r="E197" s="3"/>
      <c r="F197" s="3"/>
      <c r="G197" s="3"/>
    </row>
    <row r="198" spans="1:7">
      <c r="A198" s="4" t="s">
        <v>176</v>
      </c>
      <c r="B198" s="2" t="s">
        <v>69</v>
      </c>
      <c r="C198" s="2" t="s">
        <v>70</v>
      </c>
      <c r="D198" s="5" t="s">
        <v>161</v>
      </c>
      <c r="E198" s="2"/>
      <c r="F198" s="2"/>
      <c r="G198" s="2"/>
    </row>
    <row r="199" spans="1:7">
      <c r="A199" s="6" t="s">
        <v>177</v>
      </c>
      <c r="B199" s="3" t="s">
        <v>69</v>
      </c>
      <c r="C199" s="3" t="s">
        <v>70</v>
      </c>
      <c r="D199" s="5" t="s">
        <v>161</v>
      </c>
      <c r="E199" s="3"/>
      <c r="F199" s="3"/>
      <c r="G199" s="3"/>
    </row>
    <row r="200" spans="1:7">
      <c r="A200" s="4" t="s">
        <v>178</v>
      </c>
      <c r="B200" s="2" t="s">
        <v>69</v>
      </c>
      <c r="C200" s="2" t="s">
        <v>70</v>
      </c>
      <c r="D200" s="5" t="s">
        <v>161</v>
      </c>
      <c r="E200" s="2"/>
      <c r="F200" s="2"/>
      <c r="G200" s="2"/>
    </row>
    <row r="201" spans="1:7">
      <c r="A201" s="6" t="s">
        <v>179</v>
      </c>
      <c r="B201" s="3" t="s">
        <v>69</v>
      </c>
      <c r="C201" s="3" t="s">
        <v>70</v>
      </c>
      <c r="D201" s="5" t="s">
        <v>161</v>
      </c>
      <c r="E201" s="3"/>
      <c r="F201" s="3"/>
      <c r="G201" s="3"/>
    </row>
    <row r="202" spans="1:7">
      <c r="A202" s="4" t="s">
        <v>180</v>
      </c>
      <c r="B202" s="2" t="s">
        <v>69</v>
      </c>
      <c r="C202" s="2" t="s">
        <v>70</v>
      </c>
      <c r="D202" s="5" t="s">
        <v>161</v>
      </c>
      <c r="E202" s="2"/>
      <c r="F202" s="2"/>
      <c r="G202" s="2"/>
    </row>
    <row r="203" spans="1:7">
      <c r="A203" s="6" t="s">
        <v>181</v>
      </c>
      <c r="B203" s="3" t="s">
        <v>69</v>
      </c>
      <c r="C203" s="3" t="s">
        <v>70</v>
      </c>
      <c r="D203" s="5" t="s">
        <v>161</v>
      </c>
      <c r="E203" s="3"/>
      <c r="F203" s="3"/>
      <c r="G203" s="3"/>
    </row>
    <row r="204" spans="1:7">
      <c r="A204" s="4" t="s">
        <v>160</v>
      </c>
      <c r="B204" s="2" t="s">
        <v>73</v>
      </c>
      <c r="C204" s="2" t="s">
        <v>74</v>
      </c>
      <c r="D204" s="5" t="s">
        <v>161</v>
      </c>
      <c r="E204" s="2"/>
      <c r="F204" s="2"/>
      <c r="G204" s="2"/>
    </row>
    <row r="205" spans="1:7">
      <c r="A205" s="6" t="s">
        <v>162</v>
      </c>
      <c r="B205" s="3" t="s">
        <v>73</v>
      </c>
      <c r="C205" s="3" t="s">
        <v>74</v>
      </c>
      <c r="D205" s="7" t="s">
        <v>165</v>
      </c>
      <c r="E205" s="3"/>
      <c r="F205" s="3"/>
      <c r="G205" s="3"/>
    </row>
    <row r="206" spans="1:7">
      <c r="A206" s="4" t="s">
        <v>163</v>
      </c>
      <c r="B206" s="2" t="s">
        <v>73</v>
      </c>
      <c r="C206" s="2" t="s">
        <v>74</v>
      </c>
      <c r="D206" s="5" t="s">
        <v>161</v>
      </c>
      <c r="E206" s="2"/>
      <c r="F206" s="2"/>
      <c r="G206" s="2"/>
    </row>
    <row r="207" spans="1:7">
      <c r="A207" s="6" t="s">
        <v>164</v>
      </c>
      <c r="B207" s="3" t="s">
        <v>73</v>
      </c>
      <c r="C207" s="3" t="s">
        <v>74</v>
      </c>
      <c r="D207" s="5" t="s">
        <v>161</v>
      </c>
      <c r="E207" s="3"/>
      <c r="F207" s="3"/>
      <c r="G207" s="3"/>
    </row>
    <row r="208" spans="1:7">
      <c r="A208" s="4" t="s">
        <v>166</v>
      </c>
      <c r="B208" s="2" t="s">
        <v>73</v>
      </c>
      <c r="C208" s="2" t="s">
        <v>74</v>
      </c>
      <c r="D208" s="5" t="s">
        <v>161</v>
      </c>
      <c r="E208" s="2"/>
      <c r="F208" s="2"/>
      <c r="G208" s="2"/>
    </row>
    <row r="209" spans="1:7">
      <c r="A209" s="6" t="s">
        <v>167</v>
      </c>
      <c r="B209" s="3" t="s">
        <v>73</v>
      </c>
      <c r="C209" s="3" t="s">
        <v>74</v>
      </c>
      <c r="D209" s="5" t="s">
        <v>161</v>
      </c>
      <c r="E209" s="3"/>
      <c r="F209" s="3"/>
      <c r="G209" s="3"/>
    </row>
    <row r="210" spans="1:7">
      <c r="A210" s="4" t="s">
        <v>168</v>
      </c>
      <c r="B210" s="2" t="s">
        <v>73</v>
      </c>
      <c r="C210" s="2" t="s">
        <v>74</v>
      </c>
      <c r="D210" s="7" t="s">
        <v>165</v>
      </c>
      <c r="E210" s="2"/>
      <c r="F210" s="2"/>
      <c r="G210" s="2"/>
    </row>
    <row r="211" spans="1:7">
      <c r="A211" s="6" t="s">
        <v>169</v>
      </c>
      <c r="B211" s="3" t="s">
        <v>73</v>
      </c>
      <c r="C211" s="3" t="s">
        <v>74</v>
      </c>
      <c r="D211" s="7" t="s">
        <v>165</v>
      </c>
      <c r="E211" s="3"/>
      <c r="F211" s="3"/>
      <c r="G211" s="3"/>
    </row>
    <row r="212" spans="1:7">
      <c r="A212" s="4" t="s">
        <v>170</v>
      </c>
      <c r="B212" s="2" t="s">
        <v>73</v>
      </c>
      <c r="C212" s="2" t="s">
        <v>74</v>
      </c>
      <c r="D212" s="5" t="s">
        <v>161</v>
      </c>
      <c r="E212" s="2"/>
      <c r="F212" s="2"/>
      <c r="G212" s="2"/>
    </row>
    <row r="213" spans="1:7">
      <c r="A213" s="6" t="s">
        <v>171</v>
      </c>
      <c r="B213" s="3" t="s">
        <v>73</v>
      </c>
      <c r="C213" s="3" t="s">
        <v>74</v>
      </c>
      <c r="D213" s="5" t="s">
        <v>161</v>
      </c>
      <c r="E213" s="3"/>
      <c r="F213" s="3"/>
      <c r="G213" s="3"/>
    </row>
    <row r="214" spans="1:7">
      <c r="A214" s="4" t="s">
        <v>172</v>
      </c>
      <c r="B214" s="2" t="s">
        <v>73</v>
      </c>
      <c r="C214" s="2" t="s">
        <v>74</v>
      </c>
      <c r="D214" s="5" t="s">
        <v>161</v>
      </c>
      <c r="E214" s="2"/>
      <c r="F214" s="2"/>
      <c r="G214" s="2"/>
    </row>
    <row r="215" spans="1:7">
      <c r="A215" s="6" t="s">
        <v>173</v>
      </c>
      <c r="B215" s="3" t="s">
        <v>73</v>
      </c>
      <c r="C215" s="3" t="s">
        <v>74</v>
      </c>
      <c r="D215" s="5" t="s">
        <v>161</v>
      </c>
      <c r="E215" s="3"/>
      <c r="F215" s="3"/>
      <c r="G215" s="3"/>
    </row>
    <row r="216" spans="1:7">
      <c r="A216" s="4" t="s">
        <v>174</v>
      </c>
      <c r="B216" s="2" t="s">
        <v>73</v>
      </c>
      <c r="C216" s="2" t="s">
        <v>74</v>
      </c>
      <c r="D216" s="5" t="s">
        <v>161</v>
      </c>
      <c r="E216" s="2"/>
      <c r="F216" s="2"/>
      <c r="G216" s="2"/>
    </row>
    <row r="217" spans="1:7">
      <c r="A217" s="6" t="s">
        <v>175</v>
      </c>
      <c r="B217" s="3" t="s">
        <v>73</v>
      </c>
      <c r="C217" s="3" t="s">
        <v>74</v>
      </c>
      <c r="D217" s="5" t="s">
        <v>161</v>
      </c>
      <c r="E217" s="3"/>
      <c r="F217" s="3"/>
      <c r="G217" s="3"/>
    </row>
    <row r="218" spans="1:7">
      <c r="A218" s="4" t="s">
        <v>176</v>
      </c>
      <c r="B218" s="2" t="s">
        <v>73</v>
      </c>
      <c r="C218" s="2" t="s">
        <v>74</v>
      </c>
      <c r="D218" s="5" t="s">
        <v>161</v>
      </c>
      <c r="E218" s="2"/>
      <c r="F218" s="2"/>
      <c r="G218" s="2"/>
    </row>
    <row r="219" spans="1:7">
      <c r="A219" s="6" t="s">
        <v>177</v>
      </c>
      <c r="B219" s="3" t="s">
        <v>73</v>
      </c>
      <c r="C219" s="3" t="s">
        <v>74</v>
      </c>
      <c r="D219" s="5" t="s">
        <v>161</v>
      </c>
      <c r="E219" s="3"/>
      <c r="F219" s="3"/>
      <c r="G219" s="3"/>
    </row>
    <row r="220" spans="1:7">
      <c r="A220" s="4" t="s">
        <v>178</v>
      </c>
      <c r="B220" s="2" t="s">
        <v>73</v>
      </c>
      <c r="C220" s="2" t="s">
        <v>74</v>
      </c>
      <c r="D220" s="5" t="s">
        <v>161</v>
      </c>
      <c r="E220" s="2"/>
      <c r="F220" s="2"/>
      <c r="G220" s="2"/>
    </row>
    <row r="221" spans="1:7">
      <c r="A221" s="6" t="s">
        <v>179</v>
      </c>
      <c r="B221" s="3" t="s">
        <v>73</v>
      </c>
      <c r="C221" s="3" t="s">
        <v>74</v>
      </c>
      <c r="D221" s="5" t="s">
        <v>161</v>
      </c>
      <c r="E221" s="3"/>
      <c r="F221" s="3"/>
      <c r="G221" s="3"/>
    </row>
    <row r="222" spans="1:7">
      <c r="A222" s="4" t="s">
        <v>180</v>
      </c>
      <c r="B222" s="2" t="s">
        <v>73</v>
      </c>
      <c r="C222" s="2" t="s">
        <v>74</v>
      </c>
      <c r="D222" s="5" t="s">
        <v>161</v>
      </c>
      <c r="E222" s="2"/>
      <c r="F222" s="2"/>
      <c r="G222" s="2"/>
    </row>
    <row r="223" spans="1:7">
      <c r="A223" s="6" t="s">
        <v>181</v>
      </c>
      <c r="B223" s="3" t="s">
        <v>73</v>
      </c>
      <c r="C223" s="3" t="s">
        <v>74</v>
      </c>
      <c r="D223" s="7" t="s">
        <v>165</v>
      </c>
      <c r="E223" s="3"/>
      <c r="F223" s="3"/>
      <c r="G223" s="3"/>
    </row>
    <row r="224" spans="1:7">
      <c r="A224" s="4" t="s">
        <v>160</v>
      </c>
      <c r="B224" s="2" t="s">
        <v>77</v>
      </c>
      <c r="C224" s="2" t="s">
        <v>78</v>
      </c>
      <c r="D224" s="5" t="s">
        <v>161</v>
      </c>
      <c r="E224" s="2"/>
      <c r="F224" s="2"/>
      <c r="G224" s="2"/>
    </row>
    <row r="225" spans="1:7">
      <c r="A225" s="6" t="s">
        <v>162</v>
      </c>
      <c r="B225" s="3" t="s">
        <v>77</v>
      </c>
      <c r="C225" s="3" t="s">
        <v>78</v>
      </c>
      <c r="D225" s="5" t="s">
        <v>161</v>
      </c>
      <c r="E225" s="3"/>
      <c r="F225" s="3"/>
      <c r="G225" s="3"/>
    </row>
    <row r="226" spans="1:7">
      <c r="A226" s="4" t="s">
        <v>163</v>
      </c>
      <c r="B226" s="2" t="s">
        <v>77</v>
      </c>
      <c r="C226" s="2" t="s">
        <v>78</v>
      </c>
      <c r="D226" s="5" t="s">
        <v>161</v>
      </c>
      <c r="E226" s="2"/>
      <c r="F226" s="2"/>
      <c r="G226" s="2"/>
    </row>
    <row r="227" spans="1:7">
      <c r="A227" s="6" t="s">
        <v>164</v>
      </c>
      <c r="B227" s="3" t="s">
        <v>77</v>
      </c>
      <c r="C227" s="3" t="s">
        <v>78</v>
      </c>
      <c r="D227" s="5" t="s">
        <v>161</v>
      </c>
      <c r="E227" s="3"/>
      <c r="F227" s="3"/>
      <c r="G227" s="3"/>
    </row>
    <row r="228" spans="1:7">
      <c r="A228" s="4" t="s">
        <v>166</v>
      </c>
      <c r="B228" s="2" t="s">
        <v>77</v>
      </c>
      <c r="C228" s="2" t="s">
        <v>78</v>
      </c>
      <c r="D228" s="5" t="s">
        <v>161</v>
      </c>
      <c r="E228" s="2"/>
      <c r="F228" s="2"/>
      <c r="G228" s="2"/>
    </row>
    <row r="229" spans="1:7">
      <c r="A229" s="6" t="s">
        <v>167</v>
      </c>
      <c r="B229" s="3" t="s">
        <v>77</v>
      </c>
      <c r="C229" s="3" t="s">
        <v>78</v>
      </c>
      <c r="D229" s="7" t="s">
        <v>165</v>
      </c>
      <c r="E229" s="3"/>
      <c r="F229" s="3"/>
      <c r="G229" s="3"/>
    </row>
    <row r="230" spans="1:7">
      <c r="A230" s="4" t="s">
        <v>168</v>
      </c>
      <c r="B230" s="2" t="s">
        <v>77</v>
      </c>
      <c r="C230" s="2" t="s">
        <v>78</v>
      </c>
      <c r="D230" s="5" t="s">
        <v>161</v>
      </c>
      <c r="E230" s="2"/>
      <c r="F230" s="2"/>
      <c r="G230" s="2"/>
    </row>
    <row r="231" spans="1:7">
      <c r="A231" s="6" t="s">
        <v>169</v>
      </c>
      <c r="B231" s="3" t="s">
        <v>77</v>
      </c>
      <c r="C231" s="3" t="s">
        <v>78</v>
      </c>
      <c r="D231" s="5" t="s">
        <v>161</v>
      </c>
      <c r="E231" s="3"/>
      <c r="F231" s="3"/>
      <c r="G231" s="3"/>
    </row>
    <row r="232" spans="1:7">
      <c r="A232" s="4" t="s">
        <v>170</v>
      </c>
      <c r="B232" s="2" t="s">
        <v>77</v>
      </c>
      <c r="C232" s="2" t="s">
        <v>78</v>
      </c>
      <c r="D232" s="5" t="s">
        <v>161</v>
      </c>
      <c r="E232" s="2"/>
      <c r="F232" s="2"/>
      <c r="G232" s="2"/>
    </row>
    <row r="233" spans="1:7">
      <c r="A233" s="6" t="s">
        <v>171</v>
      </c>
      <c r="B233" s="3" t="s">
        <v>77</v>
      </c>
      <c r="C233" s="3" t="s">
        <v>78</v>
      </c>
      <c r="D233" s="5" t="s">
        <v>161</v>
      </c>
      <c r="E233" s="3"/>
      <c r="F233" s="3"/>
      <c r="G233" s="3"/>
    </row>
    <row r="234" spans="1:7">
      <c r="A234" s="4" t="s">
        <v>172</v>
      </c>
      <c r="B234" s="2" t="s">
        <v>77</v>
      </c>
      <c r="C234" s="2" t="s">
        <v>78</v>
      </c>
      <c r="D234" s="5" t="s">
        <v>161</v>
      </c>
      <c r="E234" s="2"/>
      <c r="F234" s="2"/>
      <c r="G234" s="2"/>
    </row>
    <row r="235" spans="1:7">
      <c r="A235" s="6" t="s">
        <v>173</v>
      </c>
      <c r="B235" s="3" t="s">
        <v>77</v>
      </c>
      <c r="C235" s="3" t="s">
        <v>78</v>
      </c>
      <c r="D235" s="5" t="s">
        <v>161</v>
      </c>
      <c r="E235" s="3"/>
      <c r="F235" s="3"/>
      <c r="G235" s="3"/>
    </row>
    <row r="236" spans="1:7">
      <c r="A236" s="4" t="s">
        <v>174</v>
      </c>
      <c r="B236" s="2" t="s">
        <v>77</v>
      </c>
      <c r="C236" s="2" t="s">
        <v>78</v>
      </c>
      <c r="D236" s="7" t="s">
        <v>165</v>
      </c>
      <c r="E236" s="2"/>
      <c r="F236" s="2"/>
      <c r="G236" s="2"/>
    </row>
    <row r="237" spans="1:7">
      <c r="A237" s="6" t="s">
        <v>175</v>
      </c>
      <c r="B237" s="3" t="s">
        <v>77</v>
      </c>
      <c r="C237" s="3" t="s">
        <v>78</v>
      </c>
      <c r="D237" s="5" t="s">
        <v>161</v>
      </c>
      <c r="E237" s="3"/>
      <c r="F237" s="3"/>
      <c r="G237" s="3"/>
    </row>
    <row r="238" spans="1:7">
      <c r="A238" s="4" t="s">
        <v>176</v>
      </c>
      <c r="B238" s="2" t="s">
        <v>77</v>
      </c>
      <c r="C238" s="2" t="s">
        <v>78</v>
      </c>
      <c r="D238" s="7" t="s">
        <v>165</v>
      </c>
      <c r="E238" s="2"/>
      <c r="F238" s="2"/>
      <c r="G238" s="2"/>
    </row>
    <row r="239" spans="1:7">
      <c r="A239" s="6" t="s">
        <v>177</v>
      </c>
      <c r="B239" s="3" t="s">
        <v>77</v>
      </c>
      <c r="C239" s="3" t="s">
        <v>78</v>
      </c>
      <c r="D239" s="5" t="s">
        <v>161</v>
      </c>
      <c r="E239" s="3"/>
      <c r="F239" s="3"/>
      <c r="G239" s="3"/>
    </row>
    <row r="240" spans="1:7">
      <c r="A240" s="4" t="s">
        <v>178</v>
      </c>
      <c r="B240" s="2" t="s">
        <v>77</v>
      </c>
      <c r="C240" s="2" t="s">
        <v>78</v>
      </c>
      <c r="D240" s="5" t="s">
        <v>161</v>
      </c>
      <c r="E240" s="2"/>
      <c r="F240" s="2"/>
      <c r="G240" s="2"/>
    </row>
    <row r="241" spans="1:7">
      <c r="A241" s="6" t="s">
        <v>179</v>
      </c>
      <c r="B241" s="3" t="s">
        <v>77</v>
      </c>
      <c r="C241" s="3" t="s">
        <v>78</v>
      </c>
      <c r="D241" s="5" t="s">
        <v>161</v>
      </c>
      <c r="E241" s="3"/>
      <c r="F241" s="3"/>
      <c r="G241" s="3"/>
    </row>
    <row r="242" spans="1:7">
      <c r="A242" s="4" t="s">
        <v>180</v>
      </c>
      <c r="B242" s="2" t="s">
        <v>77</v>
      </c>
      <c r="C242" s="2" t="s">
        <v>78</v>
      </c>
      <c r="D242" s="5" t="s">
        <v>161</v>
      </c>
      <c r="E242" s="2"/>
      <c r="F242" s="2"/>
      <c r="G242" s="2"/>
    </row>
    <row r="243" spans="1:7">
      <c r="A243" s="6" t="s">
        <v>181</v>
      </c>
      <c r="B243" s="3" t="s">
        <v>77</v>
      </c>
      <c r="C243" s="3" t="s">
        <v>78</v>
      </c>
      <c r="D243" s="5" t="s">
        <v>161</v>
      </c>
      <c r="E243" s="3"/>
      <c r="F243" s="3"/>
      <c r="G243" s="3"/>
    </row>
    <row r="244" spans="1:7">
      <c r="A244" s="4" t="s">
        <v>160</v>
      </c>
      <c r="B244" s="2" t="s">
        <v>81</v>
      </c>
      <c r="C244" s="2" t="s">
        <v>82</v>
      </c>
      <c r="D244" s="5" t="s">
        <v>161</v>
      </c>
      <c r="E244" s="2"/>
      <c r="F244" s="2"/>
      <c r="G244" s="2"/>
    </row>
    <row r="245" spans="1:7">
      <c r="A245" s="6" t="s">
        <v>162</v>
      </c>
      <c r="B245" s="3" t="s">
        <v>81</v>
      </c>
      <c r="C245" s="3" t="s">
        <v>82</v>
      </c>
      <c r="D245" s="7" t="s">
        <v>165</v>
      </c>
      <c r="E245" s="3"/>
      <c r="F245" s="3"/>
      <c r="G245" s="3"/>
    </row>
    <row r="246" spans="1:7">
      <c r="A246" s="4" t="s">
        <v>163</v>
      </c>
      <c r="B246" s="2" t="s">
        <v>81</v>
      </c>
      <c r="C246" s="2" t="s">
        <v>82</v>
      </c>
      <c r="D246" s="7" t="s">
        <v>165</v>
      </c>
      <c r="E246" s="2"/>
      <c r="F246" s="2"/>
      <c r="G246" s="2"/>
    </row>
    <row r="247" spans="1:7">
      <c r="A247" s="6" t="s">
        <v>164</v>
      </c>
      <c r="B247" s="3" t="s">
        <v>81</v>
      </c>
      <c r="C247" s="3" t="s">
        <v>82</v>
      </c>
      <c r="D247" s="5" t="s">
        <v>161</v>
      </c>
      <c r="E247" s="3"/>
      <c r="F247" s="3"/>
      <c r="G247" s="3"/>
    </row>
    <row r="248" spans="1:7">
      <c r="A248" s="4" t="s">
        <v>166</v>
      </c>
      <c r="B248" s="2" t="s">
        <v>81</v>
      </c>
      <c r="C248" s="2" t="s">
        <v>82</v>
      </c>
      <c r="D248" s="5" t="s">
        <v>161</v>
      </c>
      <c r="E248" s="2"/>
      <c r="F248" s="2"/>
      <c r="G248" s="2"/>
    </row>
    <row r="249" spans="1:7">
      <c r="A249" s="6" t="s">
        <v>167</v>
      </c>
      <c r="B249" s="3" t="s">
        <v>81</v>
      </c>
      <c r="C249" s="3" t="s">
        <v>82</v>
      </c>
      <c r="D249" s="5" t="s">
        <v>161</v>
      </c>
      <c r="E249" s="3"/>
      <c r="F249" s="3"/>
      <c r="G249" s="3"/>
    </row>
    <row r="250" spans="1:7">
      <c r="A250" s="4" t="s">
        <v>168</v>
      </c>
      <c r="B250" s="2" t="s">
        <v>81</v>
      </c>
      <c r="C250" s="2" t="s">
        <v>82</v>
      </c>
      <c r="D250" s="7" t="s">
        <v>165</v>
      </c>
      <c r="E250" s="2"/>
      <c r="F250" s="2"/>
      <c r="G250" s="2"/>
    </row>
    <row r="251" spans="1:7">
      <c r="A251" s="6" t="s">
        <v>169</v>
      </c>
      <c r="B251" s="3" t="s">
        <v>81</v>
      </c>
      <c r="C251" s="3" t="s">
        <v>82</v>
      </c>
      <c r="D251" s="7" t="s">
        <v>165</v>
      </c>
      <c r="E251" s="3"/>
      <c r="F251" s="3"/>
      <c r="G251" s="3"/>
    </row>
    <row r="252" spans="1:7">
      <c r="A252" s="4" t="s">
        <v>170</v>
      </c>
      <c r="B252" s="2" t="s">
        <v>81</v>
      </c>
      <c r="C252" s="2" t="s">
        <v>82</v>
      </c>
      <c r="D252" s="5" t="s">
        <v>161</v>
      </c>
      <c r="E252" s="2"/>
      <c r="F252" s="2"/>
      <c r="G252" s="2"/>
    </row>
    <row r="253" spans="1:7">
      <c r="A253" s="6" t="s">
        <v>171</v>
      </c>
      <c r="B253" s="3" t="s">
        <v>81</v>
      </c>
      <c r="C253" s="3" t="s">
        <v>82</v>
      </c>
      <c r="D253" s="5" t="s">
        <v>161</v>
      </c>
      <c r="E253" s="3"/>
      <c r="F253" s="3"/>
      <c r="G253" s="3"/>
    </row>
    <row r="254" spans="1:7">
      <c r="A254" s="4" t="s">
        <v>172</v>
      </c>
      <c r="B254" s="2" t="s">
        <v>81</v>
      </c>
      <c r="C254" s="2" t="s">
        <v>82</v>
      </c>
      <c r="D254" s="5" t="s">
        <v>161</v>
      </c>
      <c r="E254" s="2"/>
      <c r="F254" s="2"/>
      <c r="G254" s="2"/>
    </row>
    <row r="255" spans="1:7">
      <c r="A255" s="6" t="s">
        <v>173</v>
      </c>
      <c r="B255" s="3" t="s">
        <v>81</v>
      </c>
      <c r="C255" s="3" t="s">
        <v>82</v>
      </c>
      <c r="D255" s="5" t="s">
        <v>161</v>
      </c>
      <c r="E255" s="3"/>
      <c r="F255" s="3"/>
      <c r="G255" s="3"/>
    </row>
    <row r="256" spans="1:7">
      <c r="A256" s="4" t="s">
        <v>174</v>
      </c>
      <c r="B256" s="2" t="s">
        <v>81</v>
      </c>
      <c r="C256" s="2" t="s">
        <v>82</v>
      </c>
      <c r="D256" s="5" t="s">
        <v>161</v>
      </c>
      <c r="E256" s="2"/>
      <c r="F256" s="2"/>
      <c r="G256" s="2"/>
    </row>
    <row r="257" spans="1:7">
      <c r="A257" s="6" t="s">
        <v>175</v>
      </c>
      <c r="B257" s="3" t="s">
        <v>81</v>
      </c>
      <c r="C257" s="3" t="s">
        <v>82</v>
      </c>
      <c r="D257" s="5" t="s">
        <v>161</v>
      </c>
      <c r="E257" s="3"/>
      <c r="F257" s="3"/>
      <c r="G257" s="3"/>
    </row>
    <row r="258" spans="1:7">
      <c r="A258" s="4" t="s">
        <v>176</v>
      </c>
      <c r="B258" s="2" t="s">
        <v>81</v>
      </c>
      <c r="C258" s="2" t="s">
        <v>82</v>
      </c>
      <c r="D258" s="5" t="s">
        <v>161</v>
      </c>
      <c r="E258" s="2"/>
      <c r="F258" s="2"/>
      <c r="G258" s="2"/>
    </row>
    <row r="259" spans="1:7">
      <c r="A259" s="6" t="s">
        <v>177</v>
      </c>
      <c r="B259" s="3" t="s">
        <v>81</v>
      </c>
      <c r="C259" s="3" t="s">
        <v>82</v>
      </c>
      <c r="D259" s="5" t="s">
        <v>161</v>
      </c>
      <c r="E259" s="3"/>
      <c r="F259" s="3"/>
      <c r="G259" s="3"/>
    </row>
    <row r="260" spans="1:7">
      <c r="A260" s="4" t="s">
        <v>178</v>
      </c>
      <c r="B260" s="2" t="s">
        <v>81</v>
      </c>
      <c r="C260" s="2" t="s">
        <v>82</v>
      </c>
      <c r="D260" s="5" t="s">
        <v>161</v>
      </c>
      <c r="E260" s="2"/>
      <c r="F260" s="2"/>
      <c r="G260" s="2"/>
    </row>
    <row r="261" spans="1:7">
      <c r="A261" s="6" t="s">
        <v>179</v>
      </c>
      <c r="B261" s="3" t="s">
        <v>81</v>
      </c>
      <c r="C261" s="3" t="s">
        <v>82</v>
      </c>
      <c r="D261" s="5" t="s">
        <v>161</v>
      </c>
      <c r="E261" s="3"/>
      <c r="F261" s="3"/>
      <c r="G261" s="3"/>
    </row>
    <row r="262" spans="1:7">
      <c r="A262" s="4" t="s">
        <v>180</v>
      </c>
      <c r="B262" s="2" t="s">
        <v>81</v>
      </c>
      <c r="C262" s="2" t="s">
        <v>82</v>
      </c>
      <c r="D262" s="5" t="s">
        <v>161</v>
      </c>
      <c r="E262" s="2"/>
      <c r="F262" s="2"/>
      <c r="G262" s="2"/>
    </row>
    <row r="263" spans="1:7">
      <c r="A263" s="6" t="s">
        <v>181</v>
      </c>
      <c r="B263" s="3" t="s">
        <v>81</v>
      </c>
      <c r="C263" s="3" t="s">
        <v>82</v>
      </c>
      <c r="D263" s="5" t="s">
        <v>161</v>
      </c>
      <c r="E263" s="3"/>
      <c r="F263" s="3"/>
      <c r="G263" s="3"/>
    </row>
    <row r="264" spans="1:7">
      <c r="A264" s="4" t="s">
        <v>160</v>
      </c>
      <c r="B264" s="2" t="s">
        <v>85</v>
      </c>
      <c r="C264" s="2" t="s">
        <v>86</v>
      </c>
      <c r="D264" s="5" t="s">
        <v>161</v>
      </c>
      <c r="E264" s="2"/>
      <c r="F264" s="2"/>
      <c r="G264" s="2"/>
    </row>
    <row r="265" spans="1:7">
      <c r="A265" s="6" t="s">
        <v>162</v>
      </c>
      <c r="B265" s="3" t="s">
        <v>85</v>
      </c>
      <c r="C265" s="3" t="s">
        <v>86</v>
      </c>
      <c r="D265" s="5" t="s">
        <v>161</v>
      </c>
      <c r="E265" s="3"/>
      <c r="F265" s="3"/>
      <c r="G265" s="3"/>
    </row>
    <row r="266" spans="1:7">
      <c r="A266" s="4" t="s">
        <v>163</v>
      </c>
      <c r="B266" s="2" t="s">
        <v>85</v>
      </c>
      <c r="C266" s="2" t="s">
        <v>86</v>
      </c>
      <c r="D266" s="5" t="s">
        <v>161</v>
      </c>
      <c r="E266" s="2"/>
      <c r="F266" s="2"/>
      <c r="G266" s="2"/>
    </row>
    <row r="267" spans="1:7">
      <c r="A267" s="6" t="s">
        <v>164</v>
      </c>
      <c r="B267" s="3" t="s">
        <v>85</v>
      </c>
      <c r="C267" s="3" t="s">
        <v>86</v>
      </c>
      <c r="D267" s="5" t="s">
        <v>161</v>
      </c>
      <c r="E267" s="3"/>
      <c r="F267" s="3"/>
      <c r="G267" s="3"/>
    </row>
    <row r="268" spans="1:7">
      <c r="A268" s="4" t="s">
        <v>166</v>
      </c>
      <c r="B268" s="2" t="s">
        <v>85</v>
      </c>
      <c r="C268" s="2" t="s">
        <v>86</v>
      </c>
      <c r="D268" s="5" t="s">
        <v>161</v>
      </c>
      <c r="E268" s="2"/>
      <c r="F268" s="2"/>
      <c r="G268" s="2"/>
    </row>
    <row r="269" spans="1:7">
      <c r="A269" s="6" t="s">
        <v>167</v>
      </c>
      <c r="B269" s="3" t="s">
        <v>85</v>
      </c>
      <c r="C269" s="3" t="s">
        <v>86</v>
      </c>
      <c r="D269" s="5" t="s">
        <v>161</v>
      </c>
      <c r="E269" s="3"/>
      <c r="F269" s="3"/>
      <c r="G269" s="3"/>
    </row>
    <row r="270" spans="1:7">
      <c r="A270" s="4" t="s">
        <v>168</v>
      </c>
      <c r="B270" s="2" t="s">
        <v>85</v>
      </c>
      <c r="C270" s="2" t="s">
        <v>86</v>
      </c>
      <c r="D270" s="5" t="s">
        <v>161</v>
      </c>
      <c r="E270" s="2"/>
      <c r="F270" s="2"/>
      <c r="G270" s="2"/>
    </row>
    <row r="271" spans="1:7">
      <c r="A271" s="6" t="s">
        <v>169</v>
      </c>
      <c r="B271" s="3" t="s">
        <v>85</v>
      </c>
      <c r="C271" s="3" t="s">
        <v>86</v>
      </c>
      <c r="D271" s="5" t="s">
        <v>161</v>
      </c>
      <c r="E271" s="3"/>
      <c r="F271" s="3"/>
      <c r="G271" s="3"/>
    </row>
    <row r="272" spans="1:7">
      <c r="A272" s="4" t="s">
        <v>170</v>
      </c>
      <c r="B272" s="2" t="s">
        <v>85</v>
      </c>
      <c r="C272" s="2" t="s">
        <v>86</v>
      </c>
      <c r="D272" s="5" t="s">
        <v>161</v>
      </c>
      <c r="E272" s="2"/>
      <c r="F272" s="2"/>
      <c r="G272" s="2"/>
    </row>
    <row r="273" spans="1:7">
      <c r="A273" s="6" t="s">
        <v>171</v>
      </c>
      <c r="B273" s="3" t="s">
        <v>85</v>
      </c>
      <c r="C273" s="3" t="s">
        <v>86</v>
      </c>
      <c r="D273" s="5" t="s">
        <v>161</v>
      </c>
      <c r="E273" s="3"/>
      <c r="F273" s="3"/>
      <c r="G273" s="3"/>
    </row>
    <row r="274" spans="1:7">
      <c r="A274" s="4" t="s">
        <v>172</v>
      </c>
      <c r="B274" s="2" t="s">
        <v>85</v>
      </c>
      <c r="C274" s="2" t="s">
        <v>86</v>
      </c>
      <c r="D274" s="5" t="s">
        <v>161</v>
      </c>
      <c r="E274" s="2"/>
      <c r="F274" s="2"/>
      <c r="G274" s="2"/>
    </row>
    <row r="275" spans="1:7">
      <c r="A275" s="6" t="s">
        <v>173</v>
      </c>
      <c r="B275" s="3" t="s">
        <v>85</v>
      </c>
      <c r="C275" s="3" t="s">
        <v>86</v>
      </c>
      <c r="D275" s="5" t="s">
        <v>161</v>
      </c>
      <c r="E275" s="3"/>
      <c r="F275" s="3"/>
      <c r="G275" s="3"/>
    </row>
    <row r="276" spans="1:7">
      <c r="A276" s="4" t="s">
        <v>174</v>
      </c>
      <c r="B276" s="2" t="s">
        <v>85</v>
      </c>
      <c r="C276" s="2" t="s">
        <v>86</v>
      </c>
      <c r="D276" s="5" t="s">
        <v>161</v>
      </c>
      <c r="E276" s="2"/>
      <c r="F276" s="2"/>
      <c r="G276" s="2"/>
    </row>
    <row r="277" spans="1:7">
      <c r="A277" s="6" t="s">
        <v>175</v>
      </c>
      <c r="B277" s="3" t="s">
        <v>85</v>
      </c>
      <c r="C277" s="3" t="s">
        <v>86</v>
      </c>
      <c r="D277" s="5" t="s">
        <v>161</v>
      </c>
      <c r="E277" s="3"/>
      <c r="F277" s="3"/>
      <c r="G277" s="3"/>
    </row>
    <row r="278" spans="1:7">
      <c r="A278" s="4" t="s">
        <v>176</v>
      </c>
      <c r="B278" s="2" t="s">
        <v>85</v>
      </c>
      <c r="C278" s="2" t="s">
        <v>86</v>
      </c>
      <c r="D278" s="5" t="s">
        <v>161</v>
      </c>
      <c r="E278" s="2"/>
      <c r="F278" s="2"/>
      <c r="G278" s="2"/>
    </row>
    <row r="279" spans="1:7">
      <c r="A279" s="6" t="s">
        <v>177</v>
      </c>
      <c r="B279" s="3" t="s">
        <v>85</v>
      </c>
      <c r="C279" s="3" t="s">
        <v>86</v>
      </c>
      <c r="D279" s="5" t="s">
        <v>161</v>
      </c>
      <c r="E279" s="3"/>
      <c r="F279" s="3"/>
      <c r="G279" s="3"/>
    </row>
    <row r="280" spans="1:7">
      <c r="A280" s="4" t="s">
        <v>178</v>
      </c>
      <c r="B280" s="2" t="s">
        <v>85</v>
      </c>
      <c r="C280" s="2" t="s">
        <v>86</v>
      </c>
      <c r="D280" s="5" t="s">
        <v>161</v>
      </c>
      <c r="E280" s="2"/>
      <c r="F280" s="2"/>
      <c r="G280" s="2"/>
    </row>
    <row r="281" spans="1:7">
      <c r="A281" s="6" t="s">
        <v>179</v>
      </c>
      <c r="B281" s="3" t="s">
        <v>85</v>
      </c>
      <c r="C281" s="3" t="s">
        <v>86</v>
      </c>
      <c r="D281" s="5" t="s">
        <v>161</v>
      </c>
      <c r="E281" s="3"/>
      <c r="F281" s="3"/>
      <c r="G281" s="3"/>
    </row>
    <row r="282" spans="1:7">
      <c r="A282" s="4" t="s">
        <v>180</v>
      </c>
      <c r="B282" s="2" t="s">
        <v>85</v>
      </c>
      <c r="C282" s="2" t="s">
        <v>86</v>
      </c>
      <c r="D282" s="5" t="s">
        <v>161</v>
      </c>
      <c r="E282" s="2"/>
      <c r="F282" s="2"/>
      <c r="G282" s="2"/>
    </row>
    <row r="283" spans="1:7">
      <c r="A283" s="6" t="s">
        <v>181</v>
      </c>
      <c r="B283" s="3" t="s">
        <v>85</v>
      </c>
      <c r="C283" s="3" t="s">
        <v>86</v>
      </c>
      <c r="D283" s="5" t="s">
        <v>161</v>
      </c>
      <c r="E283" s="3"/>
      <c r="F283" s="3"/>
      <c r="G283" s="3"/>
    </row>
    <row r="284" spans="1:7">
      <c r="A284" s="4" t="s">
        <v>160</v>
      </c>
      <c r="B284" s="2" t="s">
        <v>89</v>
      </c>
      <c r="C284" s="2" t="s">
        <v>90</v>
      </c>
      <c r="D284" s="5" t="s">
        <v>161</v>
      </c>
      <c r="E284" s="2"/>
      <c r="F284" s="2"/>
      <c r="G284" s="2"/>
    </row>
    <row r="285" spans="1:7">
      <c r="A285" s="6" t="s">
        <v>162</v>
      </c>
      <c r="B285" s="3" t="s">
        <v>89</v>
      </c>
      <c r="C285" s="3" t="s">
        <v>90</v>
      </c>
      <c r="D285" s="5" t="s">
        <v>161</v>
      </c>
      <c r="E285" s="3"/>
      <c r="F285" s="3"/>
      <c r="G285" s="3"/>
    </row>
    <row r="286" spans="1:7">
      <c r="A286" s="4" t="s">
        <v>163</v>
      </c>
      <c r="B286" s="2" t="s">
        <v>89</v>
      </c>
      <c r="C286" s="2" t="s">
        <v>90</v>
      </c>
      <c r="D286" s="5" t="s">
        <v>161</v>
      </c>
      <c r="E286" s="2"/>
      <c r="F286" s="2"/>
      <c r="G286" s="2"/>
    </row>
    <row r="287" spans="1:7">
      <c r="A287" s="6" t="s">
        <v>164</v>
      </c>
      <c r="B287" s="3" t="s">
        <v>89</v>
      </c>
      <c r="C287" s="3" t="s">
        <v>90</v>
      </c>
      <c r="D287" s="5" t="s">
        <v>161</v>
      </c>
      <c r="E287" s="3"/>
      <c r="F287" s="3"/>
      <c r="G287" s="3"/>
    </row>
    <row r="288" spans="1:7">
      <c r="A288" s="4" t="s">
        <v>166</v>
      </c>
      <c r="B288" s="2" t="s">
        <v>89</v>
      </c>
      <c r="C288" s="2" t="s">
        <v>90</v>
      </c>
      <c r="D288" s="7" t="s">
        <v>165</v>
      </c>
      <c r="E288" s="2"/>
      <c r="F288" s="2"/>
      <c r="G288" s="2"/>
    </row>
    <row r="289" spans="1:7">
      <c r="A289" s="6" t="s">
        <v>167</v>
      </c>
      <c r="B289" s="3" t="s">
        <v>89</v>
      </c>
      <c r="C289" s="3" t="s">
        <v>90</v>
      </c>
      <c r="D289" s="7" t="s">
        <v>165</v>
      </c>
      <c r="E289" s="3"/>
      <c r="F289" s="3"/>
      <c r="G289" s="3"/>
    </row>
    <row r="290" spans="1:7">
      <c r="A290" s="4" t="s">
        <v>168</v>
      </c>
      <c r="B290" s="2" t="s">
        <v>89</v>
      </c>
      <c r="C290" s="2" t="s">
        <v>90</v>
      </c>
      <c r="D290" s="5" t="s">
        <v>161</v>
      </c>
      <c r="E290" s="2"/>
      <c r="F290" s="2"/>
      <c r="G290" s="2"/>
    </row>
    <row r="291" spans="1:7">
      <c r="A291" s="6" t="s">
        <v>169</v>
      </c>
      <c r="B291" s="3" t="s">
        <v>89</v>
      </c>
      <c r="C291" s="3" t="s">
        <v>90</v>
      </c>
      <c r="D291" s="5" t="s">
        <v>161</v>
      </c>
      <c r="E291" s="3"/>
      <c r="F291" s="3"/>
      <c r="G291" s="3"/>
    </row>
    <row r="292" spans="1:7">
      <c r="A292" s="4" t="s">
        <v>170</v>
      </c>
      <c r="B292" s="2" t="s">
        <v>89</v>
      </c>
      <c r="C292" s="2" t="s">
        <v>90</v>
      </c>
      <c r="D292" s="5" t="s">
        <v>161</v>
      </c>
      <c r="E292" s="2"/>
      <c r="F292" s="2"/>
      <c r="G292" s="2"/>
    </row>
    <row r="293" spans="1:7">
      <c r="A293" s="6" t="s">
        <v>171</v>
      </c>
      <c r="B293" s="3" t="s">
        <v>89</v>
      </c>
      <c r="C293" s="3" t="s">
        <v>90</v>
      </c>
      <c r="D293" s="5" t="s">
        <v>161</v>
      </c>
      <c r="E293" s="3"/>
      <c r="F293" s="3"/>
      <c r="G293" s="3"/>
    </row>
    <row r="294" spans="1:7">
      <c r="A294" s="4" t="s">
        <v>172</v>
      </c>
      <c r="B294" s="2" t="s">
        <v>89</v>
      </c>
      <c r="C294" s="2" t="s">
        <v>90</v>
      </c>
      <c r="D294" s="5" t="s">
        <v>161</v>
      </c>
      <c r="E294" s="2"/>
      <c r="F294" s="2"/>
      <c r="G294" s="2"/>
    </row>
    <row r="295" spans="1:7">
      <c r="A295" s="6" t="s">
        <v>173</v>
      </c>
      <c r="B295" s="3" t="s">
        <v>89</v>
      </c>
      <c r="C295" s="3" t="s">
        <v>90</v>
      </c>
      <c r="D295" s="5" t="s">
        <v>161</v>
      </c>
      <c r="E295" s="3"/>
      <c r="F295" s="3"/>
      <c r="G295" s="3"/>
    </row>
    <row r="296" spans="1:7">
      <c r="A296" s="4" t="s">
        <v>174</v>
      </c>
      <c r="B296" s="2" t="s">
        <v>89</v>
      </c>
      <c r="C296" s="2" t="s">
        <v>90</v>
      </c>
      <c r="D296" s="5" t="s">
        <v>161</v>
      </c>
      <c r="E296" s="2"/>
      <c r="F296" s="2"/>
      <c r="G296" s="2"/>
    </row>
    <row r="297" spans="1:7">
      <c r="A297" s="6" t="s">
        <v>175</v>
      </c>
      <c r="B297" s="3" t="s">
        <v>89</v>
      </c>
      <c r="C297" s="3" t="s">
        <v>90</v>
      </c>
      <c r="D297" s="7" t="s">
        <v>165</v>
      </c>
      <c r="E297" s="3"/>
      <c r="F297" s="3"/>
      <c r="G297" s="3"/>
    </row>
    <row r="298" spans="1:7">
      <c r="A298" s="4" t="s">
        <v>176</v>
      </c>
      <c r="B298" s="2" t="s">
        <v>89</v>
      </c>
      <c r="C298" s="2" t="s">
        <v>90</v>
      </c>
      <c r="D298" s="5" t="s">
        <v>161</v>
      </c>
      <c r="E298" s="2"/>
      <c r="F298" s="2"/>
      <c r="G298" s="2"/>
    </row>
    <row r="299" spans="1:7">
      <c r="A299" s="6" t="s">
        <v>177</v>
      </c>
      <c r="B299" s="3" t="s">
        <v>89</v>
      </c>
      <c r="C299" s="3" t="s">
        <v>90</v>
      </c>
      <c r="D299" s="5" t="s">
        <v>161</v>
      </c>
      <c r="E299" s="3"/>
      <c r="F299" s="3"/>
      <c r="G299" s="3"/>
    </row>
    <row r="300" spans="1:7">
      <c r="A300" s="4" t="s">
        <v>178</v>
      </c>
      <c r="B300" s="2" t="s">
        <v>89</v>
      </c>
      <c r="C300" s="2" t="s">
        <v>90</v>
      </c>
      <c r="D300" s="5" t="s">
        <v>161</v>
      </c>
      <c r="E300" s="2"/>
      <c r="F300" s="2"/>
      <c r="G300" s="2"/>
    </row>
    <row r="301" spans="1:7">
      <c r="A301" s="6" t="s">
        <v>179</v>
      </c>
      <c r="B301" s="3" t="s">
        <v>89</v>
      </c>
      <c r="C301" s="3" t="s">
        <v>90</v>
      </c>
      <c r="D301" s="5" t="s">
        <v>161</v>
      </c>
      <c r="E301" s="3"/>
      <c r="F301" s="3"/>
      <c r="G301" s="3"/>
    </row>
    <row r="302" spans="1:7">
      <c r="A302" s="4" t="s">
        <v>180</v>
      </c>
      <c r="B302" s="2" t="s">
        <v>89</v>
      </c>
      <c r="C302" s="2" t="s">
        <v>90</v>
      </c>
      <c r="D302" s="5" t="s">
        <v>161</v>
      </c>
      <c r="E302" s="2"/>
      <c r="F302" s="2"/>
      <c r="G302" s="2"/>
    </row>
    <row r="303" spans="1:7">
      <c r="A303" s="6" t="s">
        <v>181</v>
      </c>
      <c r="B303" s="3" t="s">
        <v>89</v>
      </c>
      <c r="C303" s="3" t="s">
        <v>90</v>
      </c>
      <c r="D303" s="5" t="s">
        <v>161</v>
      </c>
      <c r="E303" s="3"/>
      <c r="F303" s="3"/>
      <c r="G303" s="3"/>
    </row>
    <row r="304" spans="1:7">
      <c r="A304" s="4" t="s">
        <v>160</v>
      </c>
      <c r="B304" s="2" t="s">
        <v>93</v>
      </c>
      <c r="C304" s="2" t="s">
        <v>94</v>
      </c>
      <c r="D304" s="5" t="s">
        <v>161</v>
      </c>
      <c r="E304" s="2"/>
      <c r="F304" s="2"/>
      <c r="G304" s="2"/>
    </row>
    <row r="305" spans="1:7">
      <c r="A305" s="6" t="s">
        <v>162</v>
      </c>
      <c r="B305" s="3" t="s">
        <v>93</v>
      </c>
      <c r="C305" s="3" t="s">
        <v>94</v>
      </c>
      <c r="D305" s="5" t="s">
        <v>161</v>
      </c>
      <c r="E305" s="3"/>
      <c r="F305" s="3"/>
      <c r="G305" s="3"/>
    </row>
    <row r="306" spans="1:7">
      <c r="A306" s="4" t="s">
        <v>163</v>
      </c>
      <c r="B306" s="2" t="s">
        <v>93</v>
      </c>
      <c r="C306" s="2" t="s">
        <v>94</v>
      </c>
      <c r="D306" s="5" t="s">
        <v>161</v>
      </c>
      <c r="E306" s="2"/>
      <c r="F306" s="2"/>
      <c r="G306" s="2"/>
    </row>
    <row r="307" spans="1:7">
      <c r="A307" s="6" t="s">
        <v>164</v>
      </c>
      <c r="B307" s="3" t="s">
        <v>93</v>
      </c>
      <c r="C307" s="3" t="s">
        <v>94</v>
      </c>
      <c r="D307" s="5" t="s">
        <v>161</v>
      </c>
      <c r="E307" s="3"/>
      <c r="F307" s="3"/>
      <c r="G307" s="3"/>
    </row>
    <row r="308" spans="1:7">
      <c r="A308" s="4" t="s">
        <v>166</v>
      </c>
      <c r="B308" s="2" t="s">
        <v>93</v>
      </c>
      <c r="C308" s="2" t="s">
        <v>94</v>
      </c>
      <c r="D308" s="5" t="s">
        <v>161</v>
      </c>
      <c r="E308" s="2"/>
      <c r="F308" s="2"/>
      <c r="G308" s="2"/>
    </row>
    <row r="309" spans="1:7">
      <c r="A309" s="6" t="s">
        <v>167</v>
      </c>
      <c r="B309" s="3" t="s">
        <v>93</v>
      </c>
      <c r="C309" s="3" t="s">
        <v>94</v>
      </c>
      <c r="D309" s="5" t="s">
        <v>161</v>
      </c>
      <c r="E309" s="3"/>
      <c r="F309" s="3"/>
      <c r="G309" s="3"/>
    </row>
    <row r="310" spans="1:7">
      <c r="A310" s="4" t="s">
        <v>168</v>
      </c>
      <c r="B310" s="2" t="s">
        <v>93</v>
      </c>
      <c r="C310" s="2" t="s">
        <v>94</v>
      </c>
      <c r="D310" s="7" t="s">
        <v>165</v>
      </c>
      <c r="E310" s="2"/>
      <c r="F310" s="2"/>
      <c r="G310" s="2"/>
    </row>
    <row r="311" spans="1:7">
      <c r="A311" s="6" t="s">
        <v>169</v>
      </c>
      <c r="B311" s="3" t="s">
        <v>93</v>
      </c>
      <c r="C311" s="3" t="s">
        <v>94</v>
      </c>
      <c r="D311" s="5" t="s">
        <v>161</v>
      </c>
      <c r="E311" s="3"/>
      <c r="F311" s="3"/>
      <c r="G311" s="3"/>
    </row>
    <row r="312" spans="1:7">
      <c r="A312" s="4" t="s">
        <v>170</v>
      </c>
      <c r="B312" s="2" t="s">
        <v>93</v>
      </c>
      <c r="C312" s="2" t="s">
        <v>94</v>
      </c>
      <c r="D312" s="5" t="s">
        <v>161</v>
      </c>
      <c r="E312" s="2"/>
      <c r="F312" s="2"/>
      <c r="G312" s="2"/>
    </row>
    <row r="313" spans="1:7">
      <c r="A313" s="6" t="s">
        <v>171</v>
      </c>
      <c r="B313" s="3" t="s">
        <v>93</v>
      </c>
      <c r="C313" s="3" t="s">
        <v>94</v>
      </c>
      <c r="D313" s="5" t="s">
        <v>161</v>
      </c>
      <c r="E313" s="3"/>
      <c r="F313" s="3"/>
      <c r="G313" s="3"/>
    </row>
    <row r="314" spans="1:7">
      <c r="A314" s="4" t="s">
        <v>172</v>
      </c>
      <c r="B314" s="2" t="s">
        <v>93</v>
      </c>
      <c r="C314" s="2" t="s">
        <v>94</v>
      </c>
      <c r="D314" s="5" t="s">
        <v>161</v>
      </c>
      <c r="E314" s="2"/>
      <c r="F314" s="2"/>
      <c r="G314" s="2"/>
    </row>
    <row r="315" spans="1:7">
      <c r="A315" s="6" t="s">
        <v>173</v>
      </c>
      <c r="B315" s="3" t="s">
        <v>93</v>
      </c>
      <c r="C315" s="3" t="s">
        <v>94</v>
      </c>
      <c r="D315" s="7" t="s">
        <v>165</v>
      </c>
      <c r="E315" s="3"/>
      <c r="F315" s="3"/>
      <c r="G315" s="3"/>
    </row>
    <row r="316" spans="1:7">
      <c r="A316" s="4" t="s">
        <v>174</v>
      </c>
      <c r="B316" s="2" t="s">
        <v>93</v>
      </c>
      <c r="C316" s="2" t="s">
        <v>94</v>
      </c>
      <c r="D316" s="5" t="s">
        <v>161</v>
      </c>
      <c r="E316" s="2"/>
      <c r="F316" s="2"/>
      <c r="G316" s="2"/>
    </row>
    <row r="317" spans="1:7">
      <c r="A317" s="6" t="s">
        <v>175</v>
      </c>
      <c r="B317" s="3" t="s">
        <v>93</v>
      </c>
      <c r="C317" s="3" t="s">
        <v>94</v>
      </c>
      <c r="D317" s="5" t="s">
        <v>161</v>
      </c>
      <c r="E317" s="3"/>
      <c r="F317" s="3"/>
      <c r="G317" s="3"/>
    </row>
    <row r="318" spans="1:7">
      <c r="A318" s="4" t="s">
        <v>176</v>
      </c>
      <c r="B318" s="2" t="s">
        <v>93</v>
      </c>
      <c r="C318" s="2" t="s">
        <v>94</v>
      </c>
      <c r="D318" s="5" t="s">
        <v>161</v>
      </c>
      <c r="E318" s="2"/>
      <c r="F318" s="2"/>
      <c r="G318" s="2"/>
    </row>
    <row r="319" spans="1:7">
      <c r="A319" s="6" t="s">
        <v>177</v>
      </c>
      <c r="B319" s="3" t="s">
        <v>93</v>
      </c>
      <c r="C319" s="3" t="s">
        <v>94</v>
      </c>
      <c r="D319" s="7" t="s">
        <v>165</v>
      </c>
      <c r="E319" s="3"/>
      <c r="F319" s="3"/>
      <c r="G319" s="3"/>
    </row>
    <row r="320" spans="1:7">
      <c r="A320" s="4" t="s">
        <v>178</v>
      </c>
      <c r="B320" s="2" t="s">
        <v>93</v>
      </c>
      <c r="C320" s="2" t="s">
        <v>94</v>
      </c>
      <c r="D320" s="5" t="s">
        <v>161</v>
      </c>
      <c r="E320" s="2"/>
      <c r="F320" s="2"/>
      <c r="G320" s="2"/>
    </row>
    <row r="321" spans="1:7">
      <c r="A321" s="6" t="s">
        <v>179</v>
      </c>
      <c r="B321" s="3" t="s">
        <v>93</v>
      </c>
      <c r="C321" s="3" t="s">
        <v>94</v>
      </c>
      <c r="D321" s="5" t="s">
        <v>161</v>
      </c>
      <c r="E321" s="3"/>
      <c r="F321" s="3"/>
      <c r="G321" s="3"/>
    </row>
    <row r="322" spans="1:7">
      <c r="A322" s="4" t="s">
        <v>180</v>
      </c>
      <c r="B322" s="2" t="s">
        <v>93</v>
      </c>
      <c r="C322" s="2" t="s">
        <v>94</v>
      </c>
      <c r="D322" s="5" t="s">
        <v>161</v>
      </c>
      <c r="E322" s="2"/>
      <c r="F322" s="2"/>
      <c r="G322" s="2"/>
    </row>
    <row r="323" spans="1:7">
      <c r="A323" s="6" t="s">
        <v>181</v>
      </c>
      <c r="B323" s="3" t="s">
        <v>93</v>
      </c>
      <c r="C323" s="3" t="s">
        <v>94</v>
      </c>
      <c r="D323" s="5" t="s">
        <v>161</v>
      </c>
      <c r="E323" s="3"/>
      <c r="F323" s="3"/>
      <c r="G323" s="3"/>
    </row>
    <row r="324" spans="1:7">
      <c r="A324" s="4" t="s">
        <v>160</v>
      </c>
      <c r="B324" s="2" t="s">
        <v>97</v>
      </c>
      <c r="C324" s="2" t="s">
        <v>98</v>
      </c>
      <c r="D324" s="5" t="s">
        <v>161</v>
      </c>
      <c r="E324" s="2"/>
      <c r="F324" s="2"/>
      <c r="G324" s="2"/>
    </row>
    <row r="325" spans="1:7">
      <c r="A325" s="6" t="s">
        <v>162</v>
      </c>
      <c r="B325" s="3" t="s">
        <v>97</v>
      </c>
      <c r="C325" s="3" t="s">
        <v>98</v>
      </c>
      <c r="D325" s="5" t="s">
        <v>161</v>
      </c>
      <c r="E325" s="3"/>
      <c r="F325" s="3"/>
      <c r="G325" s="3"/>
    </row>
    <row r="326" spans="1:7">
      <c r="A326" s="4" t="s">
        <v>163</v>
      </c>
      <c r="B326" s="2" t="s">
        <v>97</v>
      </c>
      <c r="C326" s="2" t="s">
        <v>98</v>
      </c>
      <c r="D326" s="5" t="s">
        <v>161</v>
      </c>
      <c r="E326" s="2"/>
      <c r="F326" s="2"/>
      <c r="G326" s="2"/>
    </row>
    <row r="327" spans="1:7">
      <c r="A327" s="6" t="s">
        <v>164</v>
      </c>
      <c r="B327" s="3" t="s">
        <v>97</v>
      </c>
      <c r="C327" s="3" t="s">
        <v>98</v>
      </c>
      <c r="D327" s="5" t="s">
        <v>161</v>
      </c>
      <c r="E327" s="3"/>
      <c r="F327" s="3"/>
      <c r="G327" s="3"/>
    </row>
    <row r="328" spans="1:7">
      <c r="A328" s="4" t="s">
        <v>166</v>
      </c>
      <c r="B328" s="2" t="s">
        <v>97</v>
      </c>
      <c r="C328" s="2" t="s">
        <v>98</v>
      </c>
      <c r="D328" s="5" t="s">
        <v>161</v>
      </c>
      <c r="E328" s="2"/>
      <c r="F328" s="2"/>
      <c r="G328" s="2"/>
    </row>
    <row r="329" spans="1:7">
      <c r="A329" s="6" t="s">
        <v>167</v>
      </c>
      <c r="B329" s="3" t="s">
        <v>97</v>
      </c>
      <c r="C329" s="3" t="s">
        <v>98</v>
      </c>
      <c r="D329" s="5" t="s">
        <v>161</v>
      </c>
      <c r="E329" s="3"/>
      <c r="F329" s="3"/>
      <c r="G329" s="3"/>
    </row>
    <row r="330" spans="1:7">
      <c r="A330" s="4" t="s">
        <v>168</v>
      </c>
      <c r="B330" s="2" t="s">
        <v>97</v>
      </c>
      <c r="C330" s="2" t="s">
        <v>98</v>
      </c>
      <c r="D330" s="7" t="s">
        <v>165</v>
      </c>
      <c r="E330" s="2"/>
      <c r="F330" s="2"/>
      <c r="G330" s="2"/>
    </row>
    <row r="331" spans="1:7">
      <c r="A331" s="6" t="s">
        <v>169</v>
      </c>
      <c r="B331" s="3" t="s">
        <v>97</v>
      </c>
      <c r="C331" s="3" t="s">
        <v>98</v>
      </c>
      <c r="D331" s="7" t="s">
        <v>165</v>
      </c>
      <c r="E331" s="3"/>
      <c r="F331" s="3"/>
      <c r="G331" s="3"/>
    </row>
    <row r="332" spans="1:7">
      <c r="A332" s="4" t="s">
        <v>170</v>
      </c>
      <c r="B332" s="2" t="s">
        <v>97</v>
      </c>
      <c r="C332" s="2" t="s">
        <v>98</v>
      </c>
      <c r="D332" s="5" t="s">
        <v>161</v>
      </c>
      <c r="E332" s="2"/>
      <c r="F332" s="2"/>
      <c r="G332" s="2"/>
    </row>
    <row r="333" spans="1:7">
      <c r="A333" s="6" t="s">
        <v>171</v>
      </c>
      <c r="B333" s="3" t="s">
        <v>97</v>
      </c>
      <c r="C333" s="3" t="s">
        <v>98</v>
      </c>
      <c r="D333" s="5" t="s">
        <v>161</v>
      </c>
      <c r="E333" s="3"/>
      <c r="F333" s="3"/>
      <c r="G333" s="3"/>
    </row>
    <row r="334" spans="1:7">
      <c r="A334" s="4" t="s">
        <v>172</v>
      </c>
      <c r="B334" s="2" t="s">
        <v>97</v>
      </c>
      <c r="C334" s="2" t="s">
        <v>98</v>
      </c>
      <c r="D334" s="5" t="s">
        <v>161</v>
      </c>
      <c r="E334" s="2"/>
      <c r="F334" s="2"/>
      <c r="G334" s="2"/>
    </row>
    <row r="335" spans="1:7">
      <c r="A335" s="6" t="s">
        <v>173</v>
      </c>
      <c r="B335" s="3" t="s">
        <v>97</v>
      </c>
      <c r="C335" s="3" t="s">
        <v>98</v>
      </c>
      <c r="D335" s="5" t="s">
        <v>161</v>
      </c>
      <c r="E335" s="3"/>
      <c r="F335" s="3"/>
      <c r="G335" s="3"/>
    </row>
    <row r="336" spans="1:7">
      <c r="A336" s="4" t="s">
        <v>174</v>
      </c>
      <c r="B336" s="2" t="s">
        <v>97</v>
      </c>
      <c r="C336" s="2" t="s">
        <v>98</v>
      </c>
      <c r="D336" s="5" t="s">
        <v>161</v>
      </c>
      <c r="E336" s="2"/>
      <c r="F336" s="2"/>
      <c r="G336" s="2"/>
    </row>
    <row r="337" spans="1:7">
      <c r="A337" s="6" t="s">
        <v>175</v>
      </c>
      <c r="B337" s="3" t="s">
        <v>97</v>
      </c>
      <c r="C337" s="3" t="s">
        <v>98</v>
      </c>
      <c r="D337" s="5" t="s">
        <v>161</v>
      </c>
      <c r="E337" s="3"/>
      <c r="F337" s="3"/>
      <c r="G337" s="3"/>
    </row>
    <row r="338" spans="1:7">
      <c r="A338" s="4" t="s">
        <v>176</v>
      </c>
      <c r="B338" s="2" t="s">
        <v>97</v>
      </c>
      <c r="C338" s="2" t="s">
        <v>98</v>
      </c>
      <c r="D338" s="7" t="s">
        <v>165</v>
      </c>
      <c r="E338" s="2"/>
      <c r="F338" s="2"/>
      <c r="G338" s="2"/>
    </row>
    <row r="339" spans="1:7">
      <c r="A339" s="6" t="s">
        <v>177</v>
      </c>
      <c r="B339" s="3" t="s">
        <v>97</v>
      </c>
      <c r="C339" s="3" t="s">
        <v>98</v>
      </c>
      <c r="D339" s="5" t="s">
        <v>161</v>
      </c>
      <c r="E339" s="3"/>
      <c r="F339" s="3"/>
      <c r="G339" s="3"/>
    </row>
    <row r="340" spans="1:7">
      <c r="A340" s="4" t="s">
        <v>178</v>
      </c>
      <c r="B340" s="2" t="s">
        <v>97</v>
      </c>
      <c r="C340" s="2" t="s">
        <v>98</v>
      </c>
      <c r="D340" s="7" t="s">
        <v>165</v>
      </c>
      <c r="E340" s="2"/>
      <c r="F340" s="2"/>
      <c r="G340" s="2"/>
    </row>
    <row r="341" spans="1:7">
      <c r="A341" s="6" t="s">
        <v>179</v>
      </c>
      <c r="B341" s="3" t="s">
        <v>97</v>
      </c>
      <c r="C341" s="3" t="s">
        <v>98</v>
      </c>
      <c r="D341" s="5" t="s">
        <v>161</v>
      </c>
      <c r="E341" s="3"/>
      <c r="F341" s="3"/>
      <c r="G341" s="3"/>
    </row>
    <row r="342" spans="1:7">
      <c r="A342" s="4" t="s">
        <v>180</v>
      </c>
      <c r="B342" s="2" t="s">
        <v>97</v>
      </c>
      <c r="C342" s="2" t="s">
        <v>98</v>
      </c>
      <c r="D342" s="5" t="s">
        <v>161</v>
      </c>
      <c r="E342" s="2"/>
      <c r="F342" s="2"/>
      <c r="G342" s="2"/>
    </row>
    <row r="343" spans="1:7">
      <c r="A343" s="6" t="s">
        <v>181</v>
      </c>
      <c r="B343" s="3" t="s">
        <v>97</v>
      </c>
      <c r="C343" s="3" t="s">
        <v>98</v>
      </c>
      <c r="D343" s="5" t="s">
        <v>161</v>
      </c>
      <c r="E343" s="3"/>
      <c r="F343" s="3"/>
      <c r="G343" s="3"/>
    </row>
    <row r="344" spans="1:7">
      <c r="A344" s="4" t="s">
        <v>160</v>
      </c>
      <c r="B344" s="2" t="s">
        <v>101</v>
      </c>
      <c r="C344" s="2" t="s">
        <v>102</v>
      </c>
      <c r="D344" s="5" t="s">
        <v>161</v>
      </c>
      <c r="E344" s="2"/>
      <c r="F344" s="2"/>
      <c r="G344" s="2"/>
    </row>
    <row r="345" spans="1:7">
      <c r="A345" s="6" t="s">
        <v>162</v>
      </c>
      <c r="B345" s="3" t="s">
        <v>101</v>
      </c>
      <c r="C345" s="3" t="s">
        <v>102</v>
      </c>
      <c r="D345" s="5" t="s">
        <v>161</v>
      </c>
      <c r="E345" s="3"/>
      <c r="F345" s="3"/>
      <c r="G345" s="3"/>
    </row>
    <row r="346" spans="1:7">
      <c r="A346" s="4" t="s">
        <v>163</v>
      </c>
      <c r="B346" s="2" t="s">
        <v>101</v>
      </c>
      <c r="C346" s="2" t="s">
        <v>102</v>
      </c>
      <c r="D346" s="7" t="s">
        <v>165</v>
      </c>
      <c r="E346" s="2"/>
      <c r="F346" s="2"/>
      <c r="G346" s="2"/>
    </row>
    <row r="347" spans="1:7">
      <c r="A347" s="6" t="s">
        <v>164</v>
      </c>
      <c r="B347" s="3" t="s">
        <v>101</v>
      </c>
      <c r="C347" s="3" t="s">
        <v>102</v>
      </c>
      <c r="D347" s="5" t="s">
        <v>161</v>
      </c>
      <c r="E347" s="3"/>
      <c r="F347" s="3"/>
      <c r="G347" s="3"/>
    </row>
    <row r="348" spans="1:7">
      <c r="A348" s="4" t="s">
        <v>166</v>
      </c>
      <c r="B348" s="2" t="s">
        <v>101</v>
      </c>
      <c r="C348" s="2" t="s">
        <v>102</v>
      </c>
      <c r="D348" s="5" t="s">
        <v>161</v>
      </c>
      <c r="E348" s="2"/>
      <c r="F348" s="2"/>
      <c r="G348" s="2"/>
    </row>
    <row r="349" spans="1:7">
      <c r="A349" s="6" t="s">
        <v>167</v>
      </c>
      <c r="B349" s="3" t="s">
        <v>101</v>
      </c>
      <c r="C349" s="3" t="s">
        <v>102</v>
      </c>
      <c r="D349" s="5" t="s">
        <v>161</v>
      </c>
      <c r="E349" s="3"/>
      <c r="F349" s="3"/>
      <c r="G349" s="3"/>
    </row>
    <row r="350" spans="1:7">
      <c r="A350" s="4" t="s">
        <v>168</v>
      </c>
      <c r="B350" s="2" t="s">
        <v>101</v>
      </c>
      <c r="C350" s="2" t="s">
        <v>102</v>
      </c>
      <c r="D350" s="5" t="s">
        <v>161</v>
      </c>
      <c r="E350" s="2"/>
      <c r="F350" s="2"/>
      <c r="G350" s="2"/>
    </row>
    <row r="351" spans="1:7">
      <c r="A351" s="6" t="s">
        <v>169</v>
      </c>
      <c r="B351" s="3" t="s">
        <v>101</v>
      </c>
      <c r="C351" s="3" t="s">
        <v>102</v>
      </c>
      <c r="D351" s="5" t="s">
        <v>161</v>
      </c>
      <c r="E351" s="3"/>
      <c r="F351" s="3"/>
      <c r="G351" s="3"/>
    </row>
    <row r="352" spans="1:7">
      <c r="A352" s="4" t="s">
        <v>170</v>
      </c>
      <c r="B352" s="2" t="s">
        <v>101</v>
      </c>
      <c r="C352" s="2" t="s">
        <v>102</v>
      </c>
      <c r="D352" s="5" t="s">
        <v>161</v>
      </c>
      <c r="E352" s="2"/>
      <c r="F352" s="2"/>
      <c r="G352" s="2"/>
    </row>
    <row r="353" spans="1:7">
      <c r="A353" s="6" t="s">
        <v>171</v>
      </c>
      <c r="B353" s="3" t="s">
        <v>101</v>
      </c>
      <c r="C353" s="3" t="s">
        <v>102</v>
      </c>
      <c r="D353" s="5" t="s">
        <v>161</v>
      </c>
      <c r="E353" s="3"/>
      <c r="F353" s="3"/>
      <c r="G353" s="3"/>
    </row>
    <row r="354" spans="1:7">
      <c r="A354" s="4" t="s">
        <v>172</v>
      </c>
      <c r="B354" s="2" t="s">
        <v>101</v>
      </c>
      <c r="C354" s="2" t="s">
        <v>102</v>
      </c>
      <c r="D354" s="7" t="s">
        <v>165</v>
      </c>
      <c r="E354" s="2"/>
      <c r="F354" s="2"/>
      <c r="G354" s="2"/>
    </row>
    <row r="355" spans="1:7">
      <c r="A355" s="6" t="s">
        <v>173</v>
      </c>
      <c r="B355" s="3" t="s">
        <v>101</v>
      </c>
      <c r="C355" s="3" t="s">
        <v>102</v>
      </c>
      <c r="D355" s="5" t="s">
        <v>161</v>
      </c>
      <c r="E355" s="3"/>
      <c r="F355" s="3"/>
      <c r="G355" s="3"/>
    </row>
    <row r="356" spans="1:7">
      <c r="A356" s="4" t="s">
        <v>174</v>
      </c>
      <c r="B356" s="2" t="s">
        <v>101</v>
      </c>
      <c r="C356" s="2" t="s">
        <v>102</v>
      </c>
      <c r="D356" s="5" t="s">
        <v>161</v>
      </c>
      <c r="E356" s="2"/>
      <c r="F356" s="2"/>
      <c r="G356" s="2"/>
    </row>
    <row r="357" spans="1:7">
      <c r="A357" s="6" t="s">
        <v>175</v>
      </c>
      <c r="B357" s="3" t="s">
        <v>101</v>
      </c>
      <c r="C357" s="3" t="s">
        <v>102</v>
      </c>
      <c r="D357" s="5" t="s">
        <v>161</v>
      </c>
      <c r="E357" s="3"/>
      <c r="F357" s="3"/>
      <c r="G357" s="3"/>
    </row>
    <row r="358" spans="1:7">
      <c r="A358" s="4" t="s">
        <v>176</v>
      </c>
      <c r="B358" s="2" t="s">
        <v>101</v>
      </c>
      <c r="C358" s="2" t="s">
        <v>102</v>
      </c>
      <c r="D358" s="5" t="s">
        <v>161</v>
      </c>
      <c r="E358" s="2"/>
      <c r="F358" s="2"/>
      <c r="G358" s="2"/>
    </row>
    <row r="359" spans="1:7">
      <c r="A359" s="6" t="s">
        <v>177</v>
      </c>
      <c r="B359" s="3" t="s">
        <v>101</v>
      </c>
      <c r="C359" s="3" t="s">
        <v>102</v>
      </c>
      <c r="D359" s="5" t="s">
        <v>161</v>
      </c>
      <c r="E359" s="3"/>
      <c r="F359" s="3"/>
      <c r="G359" s="3"/>
    </row>
    <row r="360" spans="1:7">
      <c r="A360" s="4" t="s">
        <v>178</v>
      </c>
      <c r="B360" s="2" t="s">
        <v>101</v>
      </c>
      <c r="C360" s="2" t="s">
        <v>102</v>
      </c>
      <c r="D360" s="7" t="s">
        <v>165</v>
      </c>
      <c r="E360" s="2"/>
      <c r="F360" s="2"/>
      <c r="G360" s="2"/>
    </row>
    <row r="361" spans="1:7">
      <c r="A361" s="6" t="s">
        <v>179</v>
      </c>
      <c r="B361" s="3" t="s">
        <v>101</v>
      </c>
      <c r="C361" s="3" t="s">
        <v>102</v>
      </c>
      <c r="D361" s="5" t="s">
        <v>161</v>
      </c>
      <c r="E361" s="3"/>
      <c r="F361" s="3"/>
      <c r="G361" s="3"/>
    </row>
    <row r="362" spans="1:7">
      <c r="A362" s="4" t="s">
        <v>180</v>
      </c>
      <c r="B362" s="2" t="s">
        <v>101</v>
      </c>
      <c r="C362" s="2" t="s">
        <v>102</v>
      </c>
      <c r="D362" s="5" t="s">
        <v>161</v>
      </c>
      <c r="E362" s="2"/>
      <c r="F362" s="2"/>
      <c r="G362" s="2"/>
    </row>
    <row r="363" spans="1:7">
      <c r="A363" s="6" t="s">
        <v>181</v>
      </c>
      <c r="B363" s="3" t="s">
        <v>101</v>
      </c>
      <c r="C363" s="3" t="s">
        <v>102</v>
      </c>
      <c r="D363" s="7" t="s">
        <v>165</v>
      </c>
      <c r="E363" s="3"/>
      <c r="F363" s="3"/>
      <c r="G363" s="3"/>
    </row>
    <row r="364" spans="1:7">
      <c r="A364" s="4" t="s">
        <v>160</v>
      </c>
      <c r="B364" s="2" t="s">
        <v>105</v>
      </c>
      <c r="C364" s="2" t="s">
        <v>106</v>
      </c>
      <c r="D364" s="7" t="s">
        <v>165</v>
      </c>
      <c r="E364" s="2"/>
      <c r="F364" s="2"/>
      <c r="G364" s="2"/>
    </row>
    <row r="365" spans="1:7">
      <c r="A365" s="6" t="s">
        <v>162</v>
      </c>
      <c r="B365" s="3" t="s">
        <v>105</v>
      </c>
      <c r="C365" s="3" t="s">
        <v>106</v>
      </c>
      <c r="D365" s="5" t="s">
        <v>161</v>
      </c>
      <c r="E365" s="3"/>
      <c r="F365" s="3"/>
      <c r="G365" s="3"/>
    </row>
    <row r="366" spans="1:7">
      <c r="A366" s="4" t="s">
        <v>163</v>
      </c>
      <c r="B366" s="2" t="s">
        <v>105</v>
      </c>
      <c r="C366" s="2" t="s">
        <v>106</v>
      </c>
      <c r="D366" s="5" t="s">
        <v>161</v>
      </c>
      <c r="E366" s="2"/>
      <c r="F366" s="2"/>
      <c r="G366" s="2"/>
    </row>
    <row r="367" spans="1:7">
      <c r="A367" s="6" t="s">
        <v>164</v>
      </c>
      <c r="B367" s="3" t="s">
        <v>105</v>
      </c>
      <c r="C367" s="3" t="s">
        <v>106</v>
      </c>
      <c r="D367" s="5" t="s">
        <v>161</v>
      </c>
      <c r="E367" s="3"/>
      <c r="F367" s="3"/>
      <c r="G367" s="3"/>
    </row>
    <row r="368" spans="1:7">
      <c r="A368" s="4" t="s">
        <v>166</v>
      </c>
      <c r="B368" s="2" t="s">
        <v>105</v>
      </c>
      <c r="C368" s="2" t="s">
        <v>106</v>
      </c>
      <c r="D368" s="5" t="s">
        <v>161</v>
      </c>
      <c r="E368" s="2"/>
      <c r="F368" s="2"/>
      <c r="G368" s="2"/>
    </row>
    <row r="369" spans="1:7">
      <c r="A369" s="6" t="s">
        <v>167</v>
      </c>
      <c r="B369" s="3" t="s">
        <v>105</v>
      </c>
      <c r="C369" s="3" t="s">
        <v>106</v>
      </c>
      <c r="D369" s="5" t="s">
        <v>161</v>
      </c>
      <c r="E369" s="3"/>
      <c r="F369" s="3"/>
      <c r="G369" s="3"/>
    </row>
    <row r="370" spans="1:7">
      <c r="A370" s="4" t="s">
        <v>168</v>
      </c>
      <c r="B370" s="2" t="s">
        <v>105</v>
      </c>
      <c r="C370" s="2" t="s">
        <v>106</v>
      </c>
      <c r="D370" s="5" t="s">
        <v>161</v>
      </c>
      <c r="E370" s="2"/>
      <c r="F370" s="2"/>
      <c r="G370" s="2"/>
    </row>
    <row r="371" spans="1:7">
      <c r="A371" s="6" t="s">
        <v>169</v>
      </c>
      <c r="B371" s="3" t="s">
        <v>105</v>
      </c>
      <c r="C371" s="3" t="s">
        <v>106</v>
      </c>
      <c r="D371" s="5" t="s">
        <v>161</v>
      </c>
      <c r="E371" s="3"/>
      <c r="F371" s="3"/>
      <c r="G371" s="3"/>
    </row>
    <row r="372" spans="1:7">
      <c r="A372" s="4" t="s">
        <v>170</v>
      </c>
      <c r="B372" s="2" t="s">
        <v>105</v>
      </c>
      <c r="C372" s="2" t="s">
        <v>106</v>
      </c>
      <c r="D372" s="5" t="s">
        <v>161</v>
      </c>
      <c r="E372" s="2"/>
      <c r="F372" s="2"/>
      <c r="G372" s="2"/>
    </row>
    <row r="373" spans="1:7">
      <c r="A373" s="6" t="s">
        <v>171</v>
      </c>
      <c r="B373" s="3" t="s">
        <v>105</v>
      </c>
      <c r="C373" s="3" t="s">
        <v>106</v>
      </c>
      <c r="D373" s="5" t="s">
        <v>161</v>
      </c>
      <c r="E373" s="3"/>
      <c r="F373" s="3"/>
      <c r="G373" s="3"/>
    </row>
    <row r="374" spans="1:7">
      <c r="A374" s="4" t="s">
        <v>172</v>
      </c>
      <c r="B374" s="2" t="s">
        <v>105</v>
      </c>
      <c r="C374" s="2" t="s">
        <v>106</v>
      </c>
      <c r="D374" s="5" t="s">
        <v>161</v>
      </c>
      <c r="E374" s="2"/>
      <c r="F374" s="2"/>
      <c r="G374" s="2"/>
    </row>
    <row r="375" spans="1:7">
      <c r="A375" s="6" t="s">
        <v>173</v>
      </c>
      <c r="B375" s="3" t="s">
        <v>105</v>
      </c>
      <c r="C375" s="3" t="s">
        <v>106</v>
      </c>
      <c r="D375" s="5" t="s">
        <v>161</v>
      </c>
      <c r="E375" s="3"/>
      <c r="F375" s="3"/>
      <c r="G375" s="3"/>
    </row>
    <row r="376" spans="1:7">
      <c r="A376" s="4" t="s">
        <v>174</v>
      </c>
      <c r="B376" s="2" t="s">
        <v>105</v>
      </c>
      <c r="C376" s="2" t="s">
        <v>106</v>
      </c>
      <c r="D376" s="5" t="s">
        <v>161</v>
      </c>
      <c r="E376" s="2"/>
      <c r="F376" s="2"/>
      <c r="G376" s="2"/>
    </row>
    <row r="377" spans="1:7">
      <c r="A377" s="6" t="s">
        <v>175</v>
      </c>
      <c r="B377" s="3" t="s">
        <v>105</v>
      </c>
      <c r="C377" s="3" t="s">
        <v>106</v>
      </c>
      <c r="D377" s="5" t="s">
        <v>161</v>
      </c>
      <c r="E377" s="3"/>
      <c r="F377" s="3"/>
      <c r="G377" s="3"/>
    </row>
    <row r="378" spans="1:7">
      <c r="A378" s="4" t="s">
        <v>176</v>
      </c>
      <c r="B378" s="2" t="s">
        <v>105</v>
      </c>
      <c r="C378" s="2" t="s">
        <v>106</v>
      </c>
      <c r="D378" s="5" t="s">
        <v>161</v>
      </c>
      <c r="E378" s="2"/>
      <c r="F378" s="2"/>
      <c r="G378" s="2"/>
    </row>
    <row r="379" spans="1:7">
      <c r="A379" s="6" t="s">
        <v>177</v>
      </c>
      <c r="B379" s="3" t="s">
        <v>105</v>
      </c>
      <c r="C379" s="3" t="s">
        <v>106</v>
      </c>
      <c r="D379" s="5" t="s">
        <v>161</v>
      </c>
      <c r="E379" s="3"/>
      <c r="F379" s="3"/>
      <c r="G379" s="3"/>
    </row>
    <row r="380" spans="1:7">
      <c r="A380" s="4" t="s">
        <v>178</v>
      </c>
      <c r="B380" s="2" t="s">
        <v>105</v>
      </c>
      <c r="C380" s="2" t="s">
        <v>106</v>
      </c>
      <c r="D380" s="5" t="s">
        <v>161</v>
      </c>
      <c r="E380" s="2"/>
      <c r="F380" s="2"/>
      <c r="G380" s="2"/>
    </row>
    <row r="381" spans="1:7">
      <c r="A381" s="6" t="s">
        <v>179</v>
      </c>
      <c r="B381" s="3" t="s">
        <v>105</v>
      </c>
      <c r="C381" s="3" t="s">
        <v>106</v>
      </c>
      <c r="D381" s="5" t="s">
        <v>161</v>
      </c>
      <c r="E381" s="3"/>
      <c r="F381" s="3"/>
      <c r="G381" s="3"/>
    </row>
    <row r="382" spans="1:7">
      <c r="A382" s="4" t="s">
        <v>180</v>
      </c>
      <c r="B382" s="2" t="s">
        <v>105</v>
      </c>
      <c r="C382" s="2" t="s">
        <v>106</v>
      </c>
      <c r="D382" s="5" t="s">
        <v>161</v>
      </c>
      <c r="E382" s="2"/>
      <c r="F382" s="2"/>
      <c r="G382" s="2"/>
    </row>
    <row r="383" spans="1:7">
      <c r="A383" s="6" t="s">
        <v>181</v>
      </c>
      <c r="B383" s="3" t="s">
        <v>105</v>
      </c>
      <c r="C383" s="3" t="s">
        <v>106</v>
      </c>
      <c r="D383" s="5" t="s">
        <v>161</v>
      </c>
      <c r="E383" s="3"/>
      <c r="F383" s="3"/>
      <c r="G383" s="3"/>
    </row>
    <row r="384" spans="1:7">
      <c r="A384" s="4" t="s">
        <v>160</v>
      </c>
      <c r="B384" s="2" t="s">
        <v>109</v>
      </c>
      <c r="C384" s="2" t="s">
        <v>110</v>
      </c>
      <c r="D384" s="5" t="s">
        <v>161</v>
      </c>
      <c r="E384" s="2"/>
      <c r="F384" s="2"/>
      <c r="G384" s="2"/>
    </row>
    <row r="385" spans="1:7">
      <c r="A385" s="6" t="s">
        <v>162</v>
      </c>
      <c r="B385" s="3" t="s">
        <v>109</v>
      </c>
      <c r="C385" s="3" t="s">
        <v>110</v>
      </c>
      <c r="D385" s="5" t="s">
        <v>161</v>
      </c>
      <c r="E385" s="3"/>
      <c r="F385" s="3"/>
      <c r="G385" s="3"/>
    </row>
    <row r="386" spans="1:7">
      <c r="A386" s="4" t="s">
        <v>163</v>
      </c>
      <c r="B386" s="2" t="s">
        <v>109</v>
      </c>
      <c r="C386" s="2" t="s">
        <v>110</v>
      </c>
      <c r="D386" s="7" t="s">
        <v>165</v>
      </c>
      <c r="E386" s="2"/>
      <c r="F386" s="2"/>
      <c r="G386" s="2"/>
    </row>
    <row r="387" spans="1:7">
      <c r="A387" s="6" t="s">
        <v>164</v>
      </c>
      <c r="B387" s="3" t="s">
        <v>109</v>
      </c>
      <c r="C387" s="3" t="s">
        <v>110</v>
      </c>
      <c r="D387" s="5" t="s">
        <v>161</v>
      </c>
      <c r="E387" s="3"/>
      <c r="F387" s="3"/>
      <c r="G387" s="3"/>
    </row>
    <row r="388" spans="1:7">
      <c r="A388" s="4" t="s">
        <v>166</v>
      </c>
      <c r="B388" s="2" t="s">
        <v>109</v>
      </c>
      <c r="C388" s="2" t="s">
        <v>110</v>
      </c>
      <c r="D388" s="7" t="s">
        <v>165</v>
      </c>
      <c r="E388" s="2"/>
      <c r="F388" s="2"/>
      <c r="G388" s="2"/>
    </row>
    <row r="389" spans="1:7">
      <c r="A389" s="6" t="s">
        <v>167</v>
      </c>
      <c r="B389" s="3" t="s">
        <v>109</v>
      </c>
      <c r="C389" s="3" t="s">
        <v>110</v>
      </c>
      <c r="D389" s="5" t="s">
        <v>161</v>
      </c>
      <c r="E389" s="3"/>
      <c r="F389" s="3"/>
      <c r="G389" s="3"/>
    </row>
    <row r="390" spans="1:7">
      <c r="A390" s="4" t="s">
        <v>168</v>
      </c>
      <c r="B390" s="2" t="s">
        <v>109</v>
      </c>
      <c r="C390" s="2" t="s">
        <v>110</v>
      </c>
      <c r="D390" s="5" t="s">
        <v>161</v>
      </c>
      <c r="E390" s="2"/>
      <c r="F390" s="2"/>
      <c r="G390" s="2"/>
    </row>
    <row r="391" spans="1:7">
      <c r="A391" s="6" t="s">
        <v>169</v>
      </c>
      <c r="B391" s="3" t="s">
        <v>109</v>
      </c>
      <c r="C391" s="3" t="s">
        <v>110</v>
      </c>
      <c r="D391" s="5" t="s">
        <v>161</v>
      </c>
      <c r="E391" s="3"/>
      <c r="F391" s="3"/>
      <c r="G391" s="3"/>
    </row>
    <row r="392" spans="1:7">
      <c r="A392" s="4" t="s">
        <v>170</v>
      </c>
      <c r="B392" s="2" t="s">
        <v>109</v>
      </c>
      <c r="C392" s="2" t="s">
        <v>110</v>
      </c>
      <c r="D392" s="5" t="s">
        <v>161</v>
      </c>
      <c r="E392" s="2"/>
      <c r="F392" s="2"/>
      <c r="G392" s="2"/>
    </row>
    <row r="393" spans="1:7">
      <c r="A393" s="6" t="s">
        <v>171</v>
      </c>
      <c r="B393" s="3" t="s">
        <v>109</v>
      </c>
      <c r="C393" s="3" t="s">
        <v>110</v>
      </c>
      <c r="D393" s="5" t="s">
        <v>161</v>
      </c>
      <c r="E393" s="3"/>
      <c r="F393" s="3"/>
      <c r="G393" s="3"/>
    </row>
    <row r="394" spans="1:7">
      <c r="A394" s="4" t="s">
        <v>172</v>
      </c>
      <c r="B394" s="2" t="s">
        <v>109</v>
      </c>
      <c r="C394" s="2" t="s">
        <v>110</v>
      </c>
      <c r="D394" s="5" t="s">
        <v>161</v>
      </c>
      <c r="E394" s="2"/>
      <c r="F394" s="2"/>
      <c r="G394" s="2"/>
    </row>
    <row r="395" spans="1:7">
      <c r="A395" s="6" t="s">
        <v>173</v>
      </c>
      <c r="B395" s="3" t="s">
        <v>109</v>
      </c>
      <c r="C395" s="3" t="s">
        <v>110</v>
      </c>
      <c r="D395" s="5" t="s">
        <v>161</v>
      </c>
      <c r="E395" s="3"/>
      <c r="F395" s="3"/>
      <c r="G395" s="3"/>
    </row>
    <row r="396" spans="1:7">
      <c r="A396" s="4" t="s">
        <v>174</v>
      </c>
      <c r="B396" s="2" t="s">
        <v>109</v>
      </c>
      <c r="C396" s="2" t="s">
        <v>110</v>
      </c>
      <c r="D396" s="5" t="s">
        <v>161</v>
      </c>
      <c r="E396" s="2"/>
      <c r="F396" s="2"/>
      <c r="G396" s="2"/>
    </row>
    <row r="397" spans="1:7">
      <c r="A397" s="6" t="s">
        <v>175</v>
      </c>
      <c r="B397" s="3" t="s">
        <v>109</v>
      </c>
      <c r="C397" s="3" t="s">
        <v>110</v>
      </c>
      <c r="D397" s="7" t="s">
        <v>165</v>
      </c>
      <c r="E397" s="3"/>
      <c r="F397" s="3"/>
      <c r="G397" s="3"/>
    </row>
    <row r="398" spans="1:7">
      <c r="A398" s="4" t="s">
        <v>176</v>
      </c>
      <c r="B398" s="2" t="s">
        <v>109</v>
      </c>
      <c r="C398" s="2" t="s">
        <v>110</v>
      </c>
      <c r="D398" s="5" t="s">
        <v>161</v>
      </c>
      <c r="E398" s="2"/>
      <c r="F398" s="2"/>
      <c r="G398" s="2"/>
    </row>
    <row r="399" spans="1:7">
      <c r="A399" s="6" t="s">
        <v>177</v>
      </c>
      <c r="B399" s="3" t="s">
        <v>109</v>
      </c>
      <c r="C399" s="3" t="s">
        <v>110</v>
      </c>
      <c r="D399" s="5" t="s">
        <v>161</v>
      </c>
      <c r="E399" s="3"/>
      <c r="F399" s="3"/>
      <c r="G399" s="3"/>
    </row>
    <row r="400" spans="1:7">
      <c r="A400" s="4" t="s">
        <v>178</v>
      </c>
      <c r="B400" s="2" t="s">
        <v>109</v>
      </c>
      <c r="C400" s="2" t="s">
        <v>110</v>
      </c>
      <c r="D400" s="5" t="s">
        <v>161</v>
      </c>
      <c r="E400" s="2"/>
      <c r="F400" s="2"/>
      <c r="G400" s="2"/>
    </row>
    <row r="401" spans="1:7">
      <c r="A401" s="6" t="s">
        <v>179</v>
      </c>
      <c r="B401" s="3" t="s">
        <v>109</v>
      </c>
      <c r="C401" s="3" t="s">
        <v>110</v>
      </c>
      <c r="D401" s="7" t="s">
        <v>165</v>
      </c>
      <c r="E401" s="3"/>
      <c r="F401" s="3"/>
      <c r="G401" s="3"/>
    </row>
    <row r="402" spans="1:7">
      <c r="A402" s="4" t="s">
        <v>180</v>
      </c>
      <c r="B402" s="2" t="s">
        <v>109</v>
      </c>
      <c r="C402" s="2" t="s">
        <v>110</v>
      </c>
      <c r="D402" s="5" t="s">
        <v>161</v>
      </c>
      <c r="E402" s="2"/>
      <c r="F402" s="2"/>
      <c r="G402" s="2"/>
    </row>
    <row r="403" spans="1:7">
      <c r="A403" s="6" t="s">
        <v>181</v>
      </c>
      <c r="B403" s="3" t="s">
        <v>109</v>
      </c>
      <c r="C403" s="3" t="s">
        <v>110</v>
      </c>
      <c r="D403" s="5" t="s">
        <v>161</v>
      </c>
      <c r="E403" s="3"/>
      <c r="F403" s="3"/>
      <c r="G403" s="3"/>
    </row>
    <row r="404" spans="1:7">
      <c r="A404" s="4" t="s">
        <v>160</v>
      </c>
      <c r="B404" s="2" t="s">
        <v>113</v>
      </c>
      <c r="C404" s="2" t="s">
        <v>114</v>
      </c>
      <c r="D404" s="5" t="s">
        <v>161</v>
      </c>
      <c r="E404" s="2"/>
      <c r="F404" s="2"/>
      <c r="G404" s="2"/>
    </row>
    <row r="405" spans="1:7">
      <c r="A405" s="6" t="s">
        <v>162</v>
      </c>
      <c r="B405" s="3" t="s">
        <v>113</v>
      </c>
      <c r="C405" s="3" t="s">
        <v>114</v>
      </c>
      <c r="D405" s="5" t="s">
        <v>161</v>
      </c>
      <c r="E405" s="3"/>
      <c r="F405" s="3"/>
      <c r="G405" s="3"/>
    </row>
    <row r="406" spans="1:7">
      <c r="A406" s="4" t="s">
        <v>163</v>
      </c>
      <c r="B406" s="2" t="s">
        <v>113</v>
      </c>
      <c r="C406" s="2" t="s">
        <v>114</v>
      </c>
      <c r="D406" s="5" t="s">
        <v>161</v>
      </c>
      <c r="E406" s="2"/>
      <c r="F406" s="2"/>
      <c r="G406" s="2"/>
    </row>
    <row r="407" spans="1:7">
      <c r="A407" s="6" t="s">
        <v>164</v>
      </c>
      <c r="B407" s="3" t="s">
        <v>113</v>
      </c>
      <c r="C407" s="3" t="s">
        <v>114</v>
      </c>
      <c r="D407" s="7" t="s">
        <v>165</v>
      </c>
      <c r="E407" s="3"/>
      <c r="F407" s="3"/>
      <c r="G407" s="3"/>
    </row>
    <row r="408" spans="1:7">
      <c r="A408" s="4" t="s">
        <v>166</v>
      </c>
      <c r="B408" s="2" t="s">
        <v>113</v>
      </c>
      <c r="C408" s="2" t="s">
        <v>114</v>
      </c>
      <c r="D408" s="7" t="s">
        <v>165</v>
      </c>
      <c r="E408" s="2"/>
      <c r="F408" s="2"/>
      <c r="G408" s="2"/>
    </row>
    <row r="409" spans="1:7">
      <c r="A409" s="6" t="s">
        <v>167</v>
      </c>
      <c r="B409" s="3" t="s">
        <v>113</v>
      </c>
      <c r="C409" s="3" t="s">
        <v>114</v>
      </c>
      <c r="D409" s="5" t="s">
        <v>161</v>
      </c>
      <c r="E409" s="3"/>
      <c r="F409" s="3"/>
      <c r="G409" s="3"/>
    </row>
    <row r="410" spans="1:7">
      <c r="A410" s="4" t="s">
        <v>168</v>
      </c>
      <c r="B410" s="2" t="s">
        <v>113</v>
      </c>
      <c r="C410" s="2" t="s">
        <v>114</v>
      </c>
      <c r="D410" s="7" t="s">
        <v>165</v>
      </c>
      <c r="E410" s="2"/>
      <c r="F410" s="2"/>
      <c r="G410" s="2"/>
    </row>
    <row r="411" spans="1:7">
      <c r="A411" s="6" t="s">
        <v>169</v>
      </c>
      <c r="B411" s="3" t="s">
        <v>113</v>
      </c>
      <c r="C411" s="3" t="s">
        <v>114</v>
      </c>
      <c r="D411" s="5" t="s">
        <v>161</v>
      </c>
      <c r="E411" s="3"/>
      <c r="F411" s="3"/>
      <c r="G411" s="3"/>
    </row>
    <row r="412" spans="1:7">
      <c r="A412" s="4" t="s">
        <v>170</v>
      </c>
      <c r="B412" s="2" t="s">
        <v>113</v>
      </c>
      <c r="C412" s="2" t="s">
        <v>114</v>
      </c>
      <c r="D412" s="5" t="s">
        <v>161</v>
      </c>
      <c r="E412" s="2"/>
      <c r="F412" s="2"/>
      <c r="G412" s="2"/>
    </row>
    <row r="413" spans="1:7">
      <c r="A413" s="6" t="s">
        <v>171</v>
      </c>
      <c r="B413" s="3" t="s">
        <v>113</v>
      </c>
      <c r="C413" s="3" t="s">
        <v>114</v>
      </c>
      <c r="D413" s="5" t="s">
        <v>161</v>
      </c>
      <c r="E413" s="3"/>
      <c r="F413" s="3"/>
      <c r="G413" s="3"/>
    </row>
    <row r="414" spans="1:7">
      <c r="A414" s="4" t="s">
        <v>172</v>
      </c>
      <c r="B414" s="2" t="s">
        <v>113</v>
      </c>
      <c r="C414" s="2" t="s">
        <v>114</v>
      </c>
      <c r="D414" s="5" t="s">
        <v>161</v>
      </c>
      <c r="E414" s="2"/>
      <c r="F414" s="2"/>
      <c r="G414" s="2"/>
    </row>
    <row r="415" spans="1:7">
      <c r="A415" s="6" t="s">
        <v>173</v>
      </c>
      <c r="B415" s="3" t="s">
        <v>113</v>
      </c>
      <c r="C415" s="3" t="s">
        <v>114</v>
      </c>
      <c r="D415" s="5" t="s">
        <v>161</v>
      </c>
      <c r="E415" s="3"/>
      <c r="F415" s="3"/>
      <c r="G415" s="3"/>
    </row>
    <row r="416" spans="1:7">
      <c r="A416" s="4" t="s">
        <v>174</v>
      </c>
      <c r="B416" s="2" t="s">
        <v>113</v>
      </c>
      <c r="C416" s="2" t="s">
        <v>114</v>
      </c>
      <c r="D416" s="7" t="s">
        <v>165</v>
      </c>
      <c r="E416" s="2"/>
      <c r="F416" s="2"/>
      <c r="G416" s="2"/>
    </row>
    <row r="417" spans="1:7">
      <c r="A417" s="6" t="s">
        <v>175</v>
      </c>
      <c r="B417" s="3" t="s">
        <v>113</v>
      </c>
      <c r="C417" s="3" t="s">
        <v>114</v>
      </c>
      <c r="D417" s="5" t="s">
        <v>161</v>
      </c>
      <c r="E417" s="3"/>
      <c r="F417" s="3"/>
      <c r="G417" s="3"/>
    </row>
    <row r="418" spans="1:7">
      <c r="A418" s="4" t="s">
        <v>176</v>
      </c>
      <c r="B418" s="2" t="s">
        <v>113</v>
      </c>
      <c r="C418" s="2" t="s">
        <v>114</v>
      </c>
      <c r="D418" s="5" t="s">
        <v>161</v>
      </c>
      <c r="E418" s="2"/>
      <c r="F418" s="2"/>
      <c r="G418" s="2"/>
    </row>
    <row r="419" spans="1:7">
      <c r="A419" s="6" t="s">
        <v>177</v>
      </c>
      <c r="B419" s="3" t="s">
        <v>113</v>
      </c>
      <c r="C419" s="3" t="s">
        <v>114</v>
      </c>
      <c r="D419" s="5" t="s">
        <v>161</v>
      </c>
      <c r="E419" s="3"/>
      <c r="F419" s="3"/>
      <c r="G419" s="3"/>
    </row>
    <row r="420" spans="1:7">
      <c r="A420" s="4" t="s">
        <v>178</v>
      </c>
      <c r="B420" s="2" t="s">
        <v>113</v>
      </c>
      <c r="C420" s="2" t="s">
        <v>114</v>
      </c>
      <c r="D420" s="5" t="s">
        <v>161</v>
      </c>
      <c r="E420" s="2"/>
      <c r="F420" s="2"/>
      <c r="G420" s="2"/>
    </row>
    <row r="421" spans="1:7">
      <c r="A421" s="6" t="s">
        <v>179</v>
      </c>
      <c r="B421" s="3" t="s">
        <v>113</v>
      </c>
      <c r="C421" s="3" t="s">
        <v>114</v>
      </c>
      <c r="D421" s="7" t="s">
        <v>165</v>
      </c>
      <c r="E421" s="3"/>
      <c r="F421" s="3"/>
      <c r="G421" s="3"/>
    </row>
    <row r="422" spans="1:7">
      <c r="A422" s="4" t="s">
        <v>180</v>
      </c>
      <c r="B422" s="2" t="s">
        <v>113</v>
      </c>
      <c r="C422" s="2" t="s">
        <v>114</v>
      </c>
      <c r="D422" s="5" t="s">
        <v>161</v>
      </c>
      <c r="E422" s="2"/>
      <c r="F422" s="2"/>
      <c r="G422" s="2"/>
    </row>
    <row r="423" spans="1:7">
      <c r="A423" s="6" t="s">
        <v>181</v>
      </c>
      <c r="B423" s="3" t="s">
        <v>113</v>
      </c>
      <c r="C423" s="3" t="s">
        <v>114</v>
      </c>
      <c r="D423" s="5" t="s">
        <v>161</v>
      </c>
      <c r="E423" s="3"/>
      <c r="F423" s="3"/>
      <c r="G423" s="3"/>
    </row>
    <row r="424" spans="1:7">
      <c r="A424" s="4" t="s">
        <v>160</v>
      </c>
      <c r="B424" s="2" t="s">
        <v>117</v>
      </c>
      <c r="C424" s="2" t="s">
        <v>118</v>
      </c>
      <c r="D424" s="7" t="s">
        <v>165</v>
      </c>
      <c r="E424" s="2"/>
      <c r="F424" s="2"/>
      <c r="G424" s="2"/>
    </row>
    <row r="425" spans="1:7">
      <c r="A425" s="6" t="s">
        <v>162</v>
      </c>
      <c r="B425" s="3" t="s">
        <v>117</v>
      </c>
      <c r="C425" s="3" t="s">
        <v>118</v>
      </c>
      <c r="D425" s="5" t="s">
        <v>161</v>
      </c>
      <c r="E425" s="3"/>
      <c r="F425" s="3"/>
      <c r="G425" s="3"/>
    </row>
    <row r="426" spans="1:7">
      <c r="A426" s="4" t="s">
        <v>163</v>
      </c>
      <c r="B426" s="2" t="s">
        <v>117</v>
      </c>
      <c r="C426" s="2" t="s">
        <v>118</v>
      </c>
      <c r="D426" s="5" t="s">
        <v>161</v>
      </c>
      <c r="E426" s="2"/>
      <c r="F426" s="2"/>
      <c r="G426" s="2"/>
    </row>
    <row r="427" spans="1:7">
      <c r="A427" s="6" t="s">
        <v>164</v>
      </c>
      <c r="B427" s="3" t="s">
        <v>117</v>
      </c>
      <c r="C427" s="3" t="s">
        <v>118</v>
      </c>
      <c r="D427" s="5" t="s">
        <v>161</v>
      </c>
      <c r="E427" s="3"/>
      <c r="F427" s="3"/>
      <c r="G427" s="3"/>
    </row>
    <row r="428" spans="1:7">
      <c r="A428" s="4" t="s">
        <v>166</v>
      </c>
      <c r="B428" s="2" t="s">
        <v>117</v>
      </c>
      <c r="C428" s="2" t="s">
        <v>118</v>
      </c>
      <c r="D428" s="5" t="s">
        <v>161</v>
      </c>
      <c r="E428" s="2"/>
      <c r="F428" s="2"/>
      <c r="G428" s="2"/>
    </row>
    <row r="429" spans="1:7">
      <c r="A429" s="6" t="s">
        <v>167</v>
      </c>
      <c r="B429" s="3" t="s">
        <v>117</v>
      </c>
      <c r="C429" s="3" t="s">
        <v>118</v>
      </c>
      <c r="D429" s="5" t="s">
        <v>161</v>
      </c>
      <c r="E429" s="3"/>
      <c r="F429" s="3"/>
      <c r="G429" s="3"/>
    </row>
    <row r="430" spans="1:7">
      <c r="A430" s="4" t="s">
        <v>168</v>
      </c>
      <c r="B430" s="2" t="s">
        <v>117</v>
      </c>
      <c r="C430" s="2" t="s">
        <v>118</v>
      </c>
      <c r="D430" s="5" t="s">
        <v>161</v>
      </c>
      <c r="E430" s="2"/>
      <c r="F430" s="2"/>
      <c r="G430" s="2"/>
    </row>
    <row r="431" spans="1:7">
      <c r="A431" s="6" t="s">
        <v>169</v>
      </c>
      <c r="B431" s="3" t="s">
        <v>117</v>
      </c>
      <c r="C431" s="3" t="s">
        <v>118</v>
      </c>
      <c r="D431" s="5" t="s">
        <v>161</v>
      </c>
      <c r="E431" s="3"/>
      <c r="F431" s="3"/>
      <c r="G431" s="3"/>
    </row>
    <row r="432" spans="1:7">
      <c r="A432" s="4" t="s">
        <v>170</v>
      </c>
      <c r="B432" s="2" t="s">
        <v>117</v>
      </c>
      <c r="C432" s="2" t="s">
        <v>118</v>
      </c>
      <c r="D432" s="5" t="s">
        <v>161</v>
      </c>
      <c r="E432" s="2"/>
      <c r="F432" s="2"/>
      <c r="G432" s="2"/>
    </row>
    <row r="433" spans="1:7">
      <c r="A433" s="6" t="s">
        <v>171</v>
      </c>
      <c r="B433" s="3" t="s">
        <v>117</v>
      </c>
      <c r="C433" s="3" t="s">
        <v>118</v>
      </c>
      <c r="D433" s="5" t="s">
        <v>161</v>
      </c>
      <c r="E433" s="3"/>
      <c r="F433" s="3"/>
      <c r="G433" s="3"/>
    </row>
    <row r="434" spans="1:7">
      <c r="A434" s="4" t="s">
        <v>172</v>
      </c>
      <c r="B434" s="2" t="s">
        <v>117</v>
      </c>
      <c r="C434" s="2" t="s">
        <v>118</v>
      </c>
      <c r="D434" s="5" t="s">
        <v>161</v>
      </c>
      <c r="E434" s="2"/>
      <c r="F434" s="2"/>
      <c r="G434" s="2"/>
    </row>
    <row r="435" spans="1:7">
      <c r="A435" s="6" t="s">
        <v>173</v>
      </c>
      <c r="B435" s="3" t="s">
        <v>117</v>
      </c>
      <c r="C435" s="3" t="s">
        <v>118</v>
      </c>
      <c r="D435" s="5" t="s">
        <v>161</v>
      </c>
      <c r="E435" s="3"/>
      <c r="F435" s="3"/>
      <c r="G435" s="3"/>
    </row>
    <row r="436" spans="1:7">
      <c r="A436" s="4" t="s">
        <v>174</v>
      </c>
      <c r="B436" s="2" t="s">
        <v>117</v>
      </c>
      <c r="C436" s="2" t="s">
        <v>118</v>
      </c>
      <c r="D436" s="7" t="s">
        <v>165</v>
      </c>
      <c r="E436" s="2"/>
      <c r="F436" s="2"/>
      <c r="G436" s="2"/>
    </row>
    <row r="437" spans="1:7">
      <c r="A437" s="6" t="s">
        <v>175</v>
      </c>
      <c r="B437" s="3" t="s">
        <v>117</v>
      </c>
      <c r="C437" s="3" t="s">
        <v>118</v>
      </c>
      <c r="D437" s="5" t="s">
        <v>161</v>
      </c>
      <c r="E437" s="3"/>
      <c r="F437" s="3"/>
      <c r="G437" s="3"/>
    </row>
    <row r="438" spans="1:7">
      <c r="A438" s="4" t="s">
        <v>176</v>
      </c>
      <c r="B438" s="2" t="s">
        <v>117</v>
      </c>
      <c r="C438" s="2" t="s">
        <v>118</v>
      </c>
      <c r="D438" s="5" t="s">
        <v>161</v>
      </c>
      <c r="E438" s="2"/>
      <c r="F438" s="2"/>
      <c r="G438" s="2"/>
    </row>
    <row r="439" spans="1:7">
      <c r="A439" s="6" t="s">
        <v>177</v>
      </c>
      <c r="B439" s="3" t="s">
        <v>117</v>
      </c>
      <c r="C439" s="3" t="s">
        <v>118</v>
      </c>
      <c r="D439" s="5" t="s">
        <v>161</v>
      </c>
      <c r="E439" s="3"/>
      <c r="F439" s="3"/>
      <c r="G439" s="3"/>
    </row>
    <row r="440" spans="1:7">
      <c r="A440" s="4" t="s">
        <v>178</v>
      </c>
      <c r="B440" s="2" t="s">
        <v>117</v>
      </c>
      <c r="C440" s="2" t="s">
        <v>118</v>
      </c>
      <c r="D440" s="5" t="s">
        <v>161</v>
      </c>
      <c r="E440" s="2"/>
      <c r="F440" s="2"/>
      <c r="G440" s="2"/>
    </row>
    <row r="441" spans="1:7">
      <c r="A441" s="6" t="s">
        <v>179</v>
      </c>
      <c r="B441" s="3" t="s">
        <v>117</v>
      </c>
      <c r="C441" s="3" t="s">
        <v>118</v>
      </c>
      <c r="D441" s="5" t="s">
        <v>161</v>
      </c>
      <c r="E441" s="3"/>
      <c r="F441" s="3"/>
      <c r="G441" s="3"/>
    </row>
    <row r="442" spans="1:7">
      <c r="A442" s="4" t="s">
        <v>180</v>
      </c>
      <c r="B442" s="2" t="s">
        <v>117</v>
      </c>
      <c r="C442" s="2" t="s">
        <v>118</v>
      </c>
      <c r="D442" s="5" t="s">
        <v>161</v>
      </c>
      <c r="E442" s="2"/>
      <c r="F442" s="2"/>
      <c r="G442" s="2"/>
    </row>
    <row r="443" spans="1:7">
      <c r="A443" s="6" t="s">
        <v>181</v>
      </c>
      <c r="B443" s="3" t="s">
        <v>117</v>
      </c>
      <c r="C443" s="3" t="s">
        <v>118</v>
      </c>
      <c r="D443" s="7" t="s">
        <v>165</v>
      </c>
      <c r="E443" s="3"/>
      <c r="F443" s="3"/>
      <c r="G443" s="3"/>
    </row>
    <row r="444" spans="1:7">
      <c r="A444" s="4" t="s">
        <v>160</v>
      </c>
      <c r="B444" s="2" t="s">
        <v>121</v>
      </c>
      <c r="C444" s="2" t="s">
        <v>122</v>
      </c>
      <c r="D444" s="5" t="s">
        <v>161</v>
      </c>
      <c r="E444" s="2"/>
      <c r="F444" s="2"/>
      <c r="G444" s="2"/>
    </row>
    <row r="445" spans="1:7">
      <c r="A445" s="6" t="s">
        <v>162</v>
      </c>
      <c r="B445" s="3" t="s">
        <v>121</v>
      </c>
      <c r="C445" s="3" t="s">
        <v>122</v>
      </c>
      <c r="D445" s="5" t="s">
        <v>161</v>
      </c>
      <c r="E445" s="3"/>
      <c r="F445" s="3"/>
      <c r="G445" s="3"/>
    </row>
    <row r="446" spans="1:7">
      <c r="A446" s="4" t="s">
        <v>163</v>
      </c>
      <c r="B446" s="2" t="s">
        <v>121</v>
      </c>
      <c r="C446" s="2" t="s">
        <v>122</v>
      </c>
      <c r="D446" s="5" t="s">
        <v>161</v>
      </c>
      <c r="E446" s="2"/>
      <c r="F446" s="2"/>
      <c r="G446" s="2"/>
    </row>
    <row r="447" spans="1:7">
      <c r="A447" s="6" t="s">
        <v>164</v>
      </c>
      <c r="B447" s="3" t="s">
        <v>121</v>
      </c>
      <c r="C447" s="3" t="s">
        <v>122</v>
      </c>
      <c r="D447" s="5" t="s">
        <v>161</v>
      </c>
      <c r="E447" s="3"/>
      <c r="F447" s="3"/>
      <c r="G447" s="3"/>
    </row>
    <row r="448" spans="1:7">
      <c r="A448" s="4" t="s">
        <v>166</v>
      </c>
      <c r="B448" s="2" t="s">
        <v>121</v>
      </c>
      <c r="C448" s="2" t="s">
        <v>122</v>
      </c>
      <c r="D448" s="5" t="s">
        <v>161</v>
      </c>
      <c r="E448" s="2"/>
      <c r="F448" s="2"/>
      <c r="G448" s="2"/>
    </row>
    <row r="449" spans="1:7">
      <c r="A449" s="6" t="s">
        <v>167</v>
      </c>
      <c r="B449" s="3" t="s">
        <v>121</v>
      </c>
      <c r="C449" s="3" t="s">
        <v>122</v>
      </c>
      <c r="D449" s="7" t="s">
        <v>165</v>
      </c>
      <c r="E449" s="3"/>
      <c r="F449" s="3"/>
      <c r="G449" s="3"/>
    </row>
    <row r="450" spans="1:7">
      <c r="A450" s="4" t="s">
        <v>168</v>
      </c>
      <c r="B450" s="2" t="s">
        <v>121</v>
      </c>
      <c r="C450" s="2" t="s">
        <v>122</v>
      </c>
      <c r="D450" s="5" t="s">
        <v>161</v>
      </c>
      <c r="E450" s="2"/>
      <c r="F450" s="2"/>
      <c r="G450" s="2"/>
    </row>
    <row r="451" spans="1:7">
      <c r="A451" s="6" t="s">
        <v>169</v>
      </c>
      <c r="B451" s="3" t="s">
        <v>121</v>
      </c>
      <c r="C451" s="3" t="s">
        <v>122</v>
      </c>
      <c r="D451" s="5" t="s">
        <v>161</v>
      </c>
      <c r="E451" s="3"/>
      <c r="F451" s="3"/>
      <c r="G451" s="3"/>
    </row>
    <row r="452" spans="1:7">
      <c r="A452" s="4" t="s">
        <v>170</v>
      </c>
      <c r="B452" s="2" t="s">
        <v>121</v>
      </c>
      <c r="C452" s="2" t="s">
        <v>122</v>
      </c>
      <c r="D452" s="7" t="s">
        <v>165</v>
      </c>
      <c r="E452" s="2"/>
      <c r="F452" s="2"/>
      <c r="G452" s="2"/>
    </row>
    <row r="453" spans="1:7">
      <c r="A453" s="6" t="s">
        <v>171</v>
      </c>
      <c r="B453" s="3" t="s">
        <v>121</v>
      </c>
      <c r="C453" s="3" t="s">
        <v>122</v>
      </c>
      <c r="D453" s="5" t="s">
        <v>161</v>
      </c>
      <c r="E453" s="3"/>
      <c r="F453" s="3"/>
      <c r="G453" s="3"/>
    </row>
    <row r="454" spans="1:7">
      <c r="A454" s="4" t="s">
        <v>172</v>
      </c>
      <c r="B454" s="2" t="s">
        <v>121</v>
      </c>
      <c r="C454" s="2" t="s">
        <v>122</v>
      </c>
      <c r="D454" s="5" t="s">
        <v>161</v>
      </c>
      <c r="E454" s="2"/>
      <c r="F454" s="2"/>
      <c r="G454" s="2"/>
    </row>
    <row r="455" spans="1:7">
      <c r="A455" s="6" t="s">
        <v>173</v>
      </c>
      <c r="B455" s="3" t="s">
        <v>121</v>
      </c>
      <c r="C455" s="3" t="s">
        <v>122</v>
      </c>
      <c r="D455" s="5" t="s">
        <v>161</v>
      </c>
      <c r="E455" s="3"/>
      <c r="F455" s="3"/>
      <c r="G455" s="3"/>
    </row>
    <row r="456" spans="1:7">
      <c r="A456" s="4" t="s">
        <v>174</v>
      </c>
      <c r="B456" s="2" t="s">
        <v>121</v>
      </c>
      <c r="C456" s="2" t="s">
        <v>122</v>
      </c>
      <c r="D456" s="5" t="s">
        <v>161</v>
      </c>
      <c r="E456" s="2"/>
      <c r="F456" s="2"/>
      <c r="G456" s="2"/>
    </row>
    <row r="457" spans="1:7">
      <c r="A457" s="6" t="s">
        <v>175</v>
      </c>
      <c r="B457" s="3" t="s">
        <v>121</v>
      </c>
      <c r="C457" s="3" t="s">
        <v>122</v>
      </c>
      <c r="D457" s="5" t="s">
        <v>161</v>
      </c>
      <c r="E457" s="3"/>
      <c r="F457" s="3"/>
      <c r="G457" s="3"/>
    </row>
    <row r="458" spans="1:7">
      <c r="A458" s="4" t="s">
        <v>176</v>
      </c>
      <c r="B458" s="2" t="s">
        <v>121</v>
      </c>
      <c r="C458" s="2" t="s">
        <v>122</v>
      </c>
      <c r="D458" s="5" t="s">
        <v>161</v>
      </c>
      <c r="E458" s="2"/>
      <c r="F458" s="2"/>
      <c r="G458" s="2"/>
    </row>
    <row r="459" spans="1:7">
      <c r="A459" s="6" t="s">
        <v>177</v>
      </c>
      <c r="B459" s="3" t="s">
        <v>121</v>
      </c>
      <c r="C459" s="3" t="s">
        <v>122</v>
      </c>
      <c r="D459" s="5" t="s">
        <v>161</v>
      </c>
      <c r="E459" s="3"/>
      <c r="F459" s="3"/>
      <c r="G459" s="3"/>
    </row>
    <row r="460" spans="1:7">
      <c r="A460" s="4" t="s">
        <v>178</v>
      </c>
      <c r="B460" s="2" t="s">
        <v>121</v>
      </c>
      <c r="C460" s="2" t="s">
        <v>122</v>
      </c>
      <c r="D460" s="7" t="s">
        <v>165</v>
      </c>
      <c r="E460" s="2"/>
      <c r="F460" s="2"/>
      <c r="G460" s="2"/>
    </row>
    <row r="461" spans="1:7">
      <c r="A461" s="6" t="s">
        <v>179</v>
      </c>
      <c r="B461" s="3" t="s">
        <v>121</v>
      </c>
      <c r="C461" s="3" t="s">
        <v>122</v>
      </c>
      <c r="D461" s="5" t="s">
        <v>161</v>
      </c>
      <c r="E461" s="3"/>
      <c r="F461" s="3"/>
      <c r="G461" s="3"/>
    </row>
    <row r="462" spans="1:7">
      <c r="A462" s="4" t="s">
        <v>180</v>
      </c>
      <c r="B462" s="2" t="s">
        <v>121</v>
      </c>
      <c r="C462" s="2" t="s">
        <v>122</v>
      </c>
      <c r="D462" s="5" t="s">
        <v>161</v>
      </c>
      <c r="E462" s="2"/>
      <c r="F462" s="2"/>
      <c r="G462" s="2"/>
    </row>
    <row r="463" spans="1:7">
      <c r="A463" s="6" t="s">
        <v>181</v>
      </c>
      <c r="B463" s="3" t="s">
        <v>121</v>
      </c>
      <c r="C463" s="3" t="s">
        <v>122</v>
      </c>
      <c r="D463" s="7" t="s">
        <v>165</v>
      </c>
      <c r="E463" s="3"/>
      <c r="F463" s="3"/>
      <c r="G463" s="3"/>
    </row>
    <row r="464" spans="1:7">
      <c r="A464" s="4" t="s">
        <v>160</v>
      </c>
      <c r="B464" s="2" t="s">
        <v>125</v>
      </c>
      <c r="C464" s="2" t="s">
        <v>126</v>
      </c>
      <c r="D464" s="5" t="s">
        <v>161</v>
      </c>
      <c r="E464" s="2"/>
      <c r="F464" s="2"/>
      <c r="G464" s="2"/>
    </row>
    <row r="465" spans="1:7">
      <c r="A465" s="6" t="s">
        <v>162</v>
      </c>
      <c r="B465" s="3" t="s">
        <v>125</v>
      </c>
      <c r="C465" s="3" t="s">
        <v>126</v>
      </c>
      <c r="D465" s="5" t="s">
        <v>161</v>
      </c>
      <c r="E465" s="3"/>
      <c r="F465" s="3"/>
      <c r="G465" s="3"/>
    </row>
    <row r="466" spans="1:7">
      <c r="A466" s="4" t="s">
        <v>163</v>
      </c>
      <c r="B466" s="2" t="s">
        <v>125</v>
      </c>
      <c r="C466" s="2" t="s">
        <v>126</v>
      </c>
      <c r="D466" s="5" t="s">
        <v>161</v>
      </c>
      <c r="E466" s="2"/>
      <c r="F466" s="2"/>
      <c r="G466" s="2"/>
    </row>
    <row r="467" spans="1:7">
      <c r="A467" s="6" t="s">
        <v>164</v>
      </c>
      <c r="B467" s="3" t="s">
        <v>125</v>
      </c>
      <c r="C467" s="3" t="s">
        <v>126</v>
      </c>
      <c r="D467" s="5" t="s">
        <v>161</v>
      </c>
      <c r="E467" s="3"/>
      <c r="F467" s="3"/>
      <c r="G467" s="3"/>
    </row>
    <row r="468" spans="1:7">
      <c r="A468" s="4" t="s">
        <v>166</v>
      </c>
      <c r="B468" s="2" t="s">
        <v>125</v>
      </c>
      <c r="C468" s="2" t="s">
        <v>126</v>
      </c>
      <c r="D468" s="5" t="s">
        <v>161</v>
      </c>
      <c r="E468" s="2"/>
      <c r="F468" s="2"/>
      <c r="G468" s="2"/>
    </row>
    <row r="469" spans="1:7">
      <c r="A469" s="6" t="s">
        <v>167</v>
      </c>
      <c r="B469" s="3" t="s">
        <v>125</v>
      </c>
      <c r="C469" s="3" t="s">
        <v>126</v>
      </c>
      <c r="D469" s="7" t="s">
        <v>165</v>
      </c>
      <c r="E469" s="3"/>
      <c r="F469" s="3"/>
      <c r="G469" s="3"/>
    </row>
    <row r="470" spans="1:7">
      <c r="A470" s="4" t="s">
        <v>168</v>
      </c>
      <c r="B470" s="2" t="s">
        <v>125</v>
      </c>
      <c r="C470" s="2" t="s">
        <v>126</v>
      </c>
      <c r="D470" s="5" t="s">
        <v>161</v>
      </c>
      <c r="E470" s="2"/>
      <c r="F470" s="2"/>
      <c r="G470" s="2"/>
    </row>
    <row r="471" spans="1:7">
      <c r="A471" s="6" t="s">
        <v>169</v>
      </c>
      <c r="B471" s="3" t="s">
        <v>125</v>
      </c>
      <c r="C471" s="3" t="s">
        <v>126</v>
      </c>
      <c r="D471" s="5" t="s">
        <v>161</v>
      </c>
      <c r="E471" s="3"/>
      <c r="F471" s="3"/>
      <c r="G471" s="3"/>
    </row>
    <row r="472" spans="1:7">
      <c r="A472" s="4" t="s">
        <v>170</v>
      </c>
      <c r="B472" s="2" t="s">
        <v>125</v>
      </c>
      <c r="C472" s="2" t="s">
        <v>126</v>
      </c>
      <c r="D472" s="5" t="s">
        <v>161</v>
      </c>
      <c r="E472" s="2"/>
      <c r="F472" s="2"/>
      <c r="G472" s="2"/>
    </row>
    <row r="473" spans="1:7">
      <c r="A473" s="6" t="s">
        <v>171</v>
      </c>
      <c r="B473" s="3" t="s">
        <v>125</v>
      </c>
      <c r="C473" s="3" t="s">
        <v>126</v>
      </c>
      <c r="D473" s="5" t="s">
        <v>161</v>
      </c>
      <c r="E473" s="3"/>
      <c r="F473" s="3"/>
      <c r="G473" s="3"/>
    </row>
    <row r="474" spans="1:7">
      <c r="A474" s="4" t="s">
        <v>172</v>
      </c>
      <c r="B474" s="2" t="s">
        <v>125</v>
      </c>
      <c r="C474" s="2" t="s">
        <v>126</v>
      </c>
      <c r="D474" s="5" t="s">
        <v>161</v>
      </c>
      <c r="E474" s="2"/>
      <c r="F474" s="2"/>
      <c r="G474" s="2"/>
    </row>
    <row r="475" spans="1:7">
      <c r="A475" s="6" t="s">
        <v>173</v>
      </c>
      <c r="B475" s="3" t="s">
        <v>125</v>
      </c>
      <c r="C475" s="3" t="s">
        <v>126</v>
      </c>
      <c r="D475" s="5" t="s">
        <v>161</v>
      </c>
      <c r="E475" s="3"/>
      <c r="F475" s="3"/>
      <c r="G475" s="3"/>
    </row>
    <row r="476" spans="1:7">
      <c r="A476" s="4" t="s">
        <v>174</v>
      </c>
      <c r="B476" s="2" t="s">
        <v>125</v>
      </c>
      <c r="C476" s="2" t="s">
        <v>126</v>
      </c>
      <c r="D476" s="5" t="s">
        <v>161</v>
      </c>
      <c r="E476" s="2"/>
      <c r="F476" s="2"/>
      <c r="G476" s="2"/>
    </row>
    <row r="477" spans="1:7">
      <c r="A477" s="6" t="s">
        <v>175</v>
      </c>
      <c r="B477" s="3" t="s">
        <v>125</v>
      </c>
      <c r="C477" s="3" t="s">
        <v>126</v>
      </c>
      <c r="D477" s="5" t="s">
        <v>161</v>
      </c>
      <c r="E477" s="3"/>
      <c r="F477" s="3"/>
      <c r="G477" s="3"/>
    </row>
    <row r="478" spans="1:7">
      <c r="A478" s="4" t="s">
        <v>176</v>
      </c>
      <c r="B478" s="2" t="s">
        <v>125</v>
      </c>
      <c r="C478" s="2" t="s">
        <v>126</v>
      </c>
      <c r="D478" s="7" t="s">
        <v>165</v>
      </c>
      <c r="E478" s="2"/>
      <c r="F478" s="2"/>
      <c r="G478" s="2"/>
    </row>
    <row r="479" spans="1:7">
      <c r="A479" s="6" t="s">
        <v>177</v>
      </c>
      <c r="B479" s="3" t="s">
        <v>125</v>
      </c>
      <c r="C479" s="3" t="s">
        <v>126</v>
      </c>
      <c r="D479" s="5" t="s">
        <v>161</v>
      </c>
      <c r="E479" s="3"/>
      <c r="F479" s="3"/>
      <c r="G479" s="3"/>
    </row>
    <row r="480" spans="1:7">
      <c r="A480" s="4" t="s">
        <v>178</v>
      </c>
      <c r="B480" s="2" t="s">
        <v>125</v>
      </c>
      <c r="C480" s="2" t="s">
        <v>126</v>
      </c>
      <c r="D480" s="5" t="s">
        <v>161</v>
      </c>
      <c r="E480" s="2"/>
      <c r="F480" s="2"/>
      <c r="G480" s="2"/>
    </row>
    <row r="481" spans="1:7">
      <c r="A481" s="6" t="s">
        <v>179</v>
      </c>
      <c r="B481" s="3" t="s">
        <v>125</v>
      </c>
      <c r="C481" s="3" t="s">
        <v>126</v>
      </c>
      <c r="D481" s="5" t="s">
        <v>161</v>
      </c>
      <c r="E481" s="3"/>
      <c r="F481" s="3"/>
      <c r="G481" s="3"/>
    </row>
    <row r="482" spans="1:7">
      <c r="A482" s="4" t="s">
        <v>180</v>
      </c>
      <c r="B482" s="2" t="s">
        <v>125</v>
      </c>
      <c r="C482" s="2" t="s">
        <v>126</v>
      </c>
      <c r="D482" s="5" t="s">
        <v>161</v>
      </c>
      <c r="E482" s="2"/>
      <c r="F482" s="2"/>
      <c r="G482" s="2"/>
    </row>
    <row r="483" spans="1:7">
      <c r="A483" s="6" t="s">
        <v>181</v>
      </c>
      <c r="B483" s="3" t="s">
        <v>125</v>
      </c>
      <c r="C483" s="3" t="s">
        <v>126</v>
      </c>
      <c r="D483" s="5" t="s">
        <v>161</v>
      </c>
      <c r="E483" s="3"/>
      <c r="F483" s="3"/>
      <c r="G483" s="3"/>
    </row>
    <row r="484" spans="1:7">
      <c r="A484" s="4" t="s">
        <v>160</v>
      </c>
      <c r="B484" s="2" t="s">
        <v>129</v>
      </c>
      <c r="C484" s="2" t="s">
        <v>130</v>
      </c>
      <c r="D484" s="5" t="s">
        <v>161</v>
      </c>
      <c r="E484" s="2"/>
      <c r="F484" s="2"/>
      <c r="G484" s="2"/>
    </row>
    <row r="485" spans="1:7">
      <c r="A485" s="6" t="s">
        <v>162</v>
      </c>
      <c r="B485" s="3" t="s">
        <v>129</v>
      </c>
      <c r="C485" s="3" t="s">
        <v>130</v>
      </c>
      <c r="D485" s="5" t="s">
        <v>161</v>
      </c>
      <c r="E485" s="3"/>
      <c r="F485" s="3"/>
      <c r="G485" s="3"/>
    </row>
    <row r="486" spans="1:7">
      <c r="A486" s="4" t="s">
        <v>163</v>
      </c>
      <c r="B486" s="2" t="s">
        <v>129</v>
      </c>
      <c r="C486" s="2" t="s">
        <v>130</v>
      </c>
      <c r="D486" s="5" t="s">
        <v>161</v>
      </c>
      <c r="E486" s="2"/>
      <c r="F486" s="2"/>
      <c r="G486" s="2"/>
    </row>
    <row r="487" spans="1:7">
      <c r="A487" s="6" t="s">
        <v>164</v>
      </c>
      <c r="B487" s="3" t="s">
        <v>129</v>
      </c>
      <c r="C487" s="3" t="s">
        <v>130</v>
      </c>
      <c r="D487" s="5" t="s">
        <v>161</v>
      </c>
      <c r="E487" s="3"/>
      <c r="F487" s="3"/>
      <c r="G487" s="3"/>
    </row>
    <row r="488" spans="1:7">
      <c r="A488" s="4" t="s">
        <v>166</v>
      </c>
      <c r="B488" s="2" t="s">
        <v>129</v>
      </c>
      <c r="C488" s="2" t="s">
        <v>130</v>
      </c>
      <c r="D488" s="7" t="s">
        <v>165</v>
      </c>
      <c r="E488" s="2"/>
      <c r="F488" s="2"/>
      <c r="G488" s="2"/>
    </row>
    <row r="489" spans="1:7">
      <c r="A489" s="6" t="s">
        <v>167</v>
      </c>
      <c r="B489" s="3" t="s">
        <v>129</v>
      </c>
      <c r="C489" s="3" t="s">
        <v>130</v>
      </c>
      <c r="D489" s="5" t="s">
        <v>161</v>
      </c>
      <c r="E489" s="3"/>
      <c r="F489" s="3"/>
      <c r="G489" s="3"/>
    </row>
    <row r="490" spans="1:7">
      <c r="A490" s="4" t="s">
        <v>168</v>
      </c>
      <c r="B490" s="2" t="s">
        <v>129</v>
      </c>
      <c r="C490" s="2" t="s">
        <v>130</v>
      </c>
      <c r="D490" s="5" t="s">
        <v>161</v>
      </c>
      <c r="E490" s="2"/>
      <c r="F490" s="2"/>
      <c r="G490" s="2"/>
    </row>
    <row r="491" spans="1:7">
      <c r="A491" s="6" t="s">
        <v>169</v>
      </c>
      <c r="B491" s="3" t="s">
        <v>129</v>
      </c>
      <c r="C491" s="3" t="s">
        <v>130</v>
      </c>
      <c r="D491" s="5" t="s">
        <v>161</v>
      </c>
      <c r="E491" s="3"/>
      <c r="F491" s="3"/>
      <c r="G491" s="3"/>
    </row>
    <row r="492" spans="1:7">
      <c r="A492" s="4" t="s">
        <v>170</v>
      </c>
      <c r="B492" s="2" t="s">
        <v>129</v>
      </c>
      <c r="C492" s="2" t="s">
        <v>130</v>
      </c>
      <c r="D492" s="5" t="s">
        <v>161</v>
      </c>
      <c r="E492" s="2"/>
      <c r="F492" s="2"/>
      <c r="G492" s="2"/>
    </row>
    <row r="493" spans="1:7">
      <c r="A493" s="6" t="s">
        <v>171</v>
      </c>
      <c r="B493" s="3" t="s">
        <v>129</v>
      </c>
      <c r="C493" s="3" t="s">
        <v>130</v>
      </c>
      <c r="D493" s="5" t="s">
        <v>161</v>
      </c>
      <c r="E493" s="3"/>
      <c r="F493" s="3"/>
      <c r="G493" s="3"/>
    </row>
    <row r="494" spans="1:7">
      <c r="A494" s="4" t="s">
        <v>172</v>
      </c>
      <c r="B494" s="2" t="s">
        <v>129</v>
      </c>
      <c r="C494" s="2" t="s">
        <v>130</v>
      </c>
      <c r="D494" s="5" t="s">
        <v>161</v>
      </c>
      <c r="E494" s="2"/>
      <c r="F494" s="2"/>
      <c r="G494" s="2"/>
    </row>
    <row r="495" spans="1:7">
      <c r="A495" s="6" t="s">
        <v>173</v>
      </c>
      <c r="B495" s="3" t="s">
        <v>129</v>
      </c>
      <c r="C495" s="3" t="s">
        <v>130</v>
      </c>
      <c r="D495" s="5" t="s">
        <v>161</v>
      </c>
      <c r="E495" s="3"/>
      <c r="F495" s="3"/>
      <c r="G495" s="3"/>
    </row>
    <row r="496" spans="1:7">
      <c r="A496" s="4" t="s">
        <v>174</v>
      </c>
      <c r="B496" s="2" t="s">
        <v>129</v>
      </c>
      <c r="C496" s="2" t="s">
        <v>130</v>
      </c>
      <c r="D496" s="5" t="s">
        <v>161</v>
      </c>
      <c r="E496" s="2"/>
      <c r="F496" s="2"/>
      <c r="G496" s="2"/>
    </row>
    <row r="497" spans="1:7">
      <c r="A497" s="6" t="s">
        <v>175</v>
      </c>
      <c r="B497" s="3" t="s">
        <v>129</v>
      </c>
      <c r="C497" s="3" t="s">
        <v>130</v>
      </c>
      <c r="D497" s="5" t="s">
        <v>161</v>
      </c>
      <c r="E497" s="3"/>
      <c r="F497" s="3"/>
      <c r="G497" s="3"/>
    </row>
    <row r="498" spans="1:7">
      <c r="A498" s="4" t="s">
        <v>176</v>
      </c>
      <c r="B498" s="2" t="s">
        <v>129</v>
      </c>
      <c r="C498" s="2" t="s">
        <v>130</v>
      </c>
      <c r="D498" s="5" t="s">
        <v>161</v>
      </c>
      <c r="E498" s="2"/>
      <c r="F498" s="2"/>
      <c r="G498" s="2"/>
    </row>
    <row r="499" spans="1:7">
      <c r="A499" s="6" t="s">
        <v>177</v>
      </c>
      <c r="B499" s="3" t="s">
        <v>129</v>
      </c>
      <c r="C499" s="3" t="s">
        <v>130</v>
      </c>
      <c r="D499" s="5" t="s">
        <v>161</v>
      </c>
      <c r="E499" s="3"/>
      <c r="F499" s="3"/>
      <c r="G499" s="3"/>
    </row>
    <row r="500" spans="1:7">
      <c r="A500" s="4" t="s">
        <v>178</v>
      </c>
      <c r="B500" s="2" t="s">
        <v>129</v>
      </c>
      <c r="C500" s="2" t="s">
        <v>130</v>
      </c>
      <c r="D500" s="5" t="s">
        <v>161</v>
      </c>
      <c r="E500" s="2"/>
      <c r="F500" s="2"/>
      <c r="G500" s="2"/>
    </row>
    <row r="501" spans="1:7">
      <c r="A501" s="6" t="s">
        <v>179</v>
      </c>
      <c r="B501" s="3" t="s">
        <v>129</v>
      </c>
      <c r="C501" s="3" t="s">
        <v>130</v>
      </c>
      <c r="D501" s="5" t="s">
        <v>161</v>
      </c>
      <c r="E501" s="3"/>
      <c r="F501" s="3"/>
      <c r="G501" s="3"/>
    </row>
    <row r="502" spans="1:7">
      <c r="A502" s="4" t="s">
        <v>180</v>
      </c>
      <c r="B502" s="2" t="s">
        <v>129</v>
      </c>
      <c r="C502" s="2" t="s">
        <v>130</v>
      </c>
      <c r="D502" s="5" t="s">
        <v>161</v>
      </c>
      <c r="E502" s="2"/>
      <c r="F502" s="2"/>
      <c r="G502" s="2"/>
    </row>
    <row r="503" spans="1:7">
      <c r="A503" s="6" t="s">
        <v>181</v>
      </c>
      <c r="B503" s="3" t="s">
        <v>129</v>
      </c>
      <c r="C503" s="3" t="s">
        <v>130</v>
      </c>
      <c r="D503" s="7" t="s">
        <v>165</v>
      </c>
      <c r="E503" s="3"/>
      <c r="F503" s="3"/>
      <c r="G503" s="3"/>
    </row>
    <row r="504" spans="1:7">
      <c r="A504" s="4" t="s">
        <v>160</v>
      </c>
      <c r="B504" s="2" t="s">
        <v>133</v>
      </c>
      <c r="C504" s="2" t="s">
        <v>134</v>
      </c>
      <c r="D504" s="5" t="s">
        <v>161</v>
      </c>
      <c r="E504" s="2"/>
      <c r="F504" s="2"/>
      <c r="G504" s="2"/>
    </row>
    <row r="505" spans="1:7">
      <c r="A505" s="6" t="s">
        <v>162</v>
      </c>
      <c r="B505" s="3" t="s">
        <v>133</v>
      </c>
      <c r="C505" s="3" t="s">
        <v>134</v>
      </c>
      <c r="D505" s="5" t="s">
        <v>161</v>
      </c>
      <c r="E505" s="3"/>
      <c r="F505" s="3"/>
      <c r="G505" s="3"/>
    </row>
    <row r="506" spans="1:7">
      <c r="A506" s="4" t="s">
        <v>163</v>
      </c>
      <c r="B506" s="2" t="s">
        <v>133</v>
      </c>
      <c r="C506" s="2" t="s">
        <v>134</v>
      </c>
      <c r="D506" s="7" t="s">
        <v>165</v>
      </c>
      <c r="E506" s="2"/>
      <c r="F506" s="2"/>
      <c r="G506" s="2"/>
    </row>
    <row r="507" spans="1:7">
      <c r="A507" s="6" t="s">
        <v>164</v>
      </c>
      <c r="B507" s="3" t="s">
        <v>133</v>
      </c>
      <c r="C507" s="3" t="s">
        <v>134</v>
      </c>
      <c r="D507" s="5" t="s">
        <v>161</v>
      </c>
      <c r="E507" s="3"/>
      <c r="F507" s="3"/>
      <c r="G507" s="3"/>
    </row>
    <row r="508" spans="1:7">
      <c r="A508" s="4" t="s">
        <v>166</v>
      </c>
      <c r="B508" s="2" t="s">
        <v>133</v>
      </c>
      <c r="C508" s="2" t="s">
        <v>134</v>
      </c>
      <c r="D508" s="5" t="s">
        <v>161</v>
      </c>
      <c r="E508" s="2"/>
      <c r="F508" s="2"/>
      <c r="G508" s="2"/>
    </row>
    <row r="509" spans="1:7">
      <c r="A509" s="6" t="s">
        <v>167</v>
      </c>
      <c r="B509" s="3" t="s">
        <v>133</v>
      </c>
      <c r="C509" s="3" t="s">
        <v>134</v>
      </c>
      <c r="D509" s="5" t="s">
        <v>161</v>
      </c>
      <c r="E509" s="3"/>
      <c r="F509" s="3"/>
      <c r="G509" s="3"/>
    </row>
    <row r="510" spans="1:7">
      <c r="A510" s="4" t="s">
        <v>168</v>
      </c>
      <c r="B510" s="2" t="s">
        <v>133</v>
      </c>
      <c r="C510" s="2" t="s">
        <v>134</v>
      </c>
      <c r="D510" s="5" t="s">
        <v>161</v>
      </c>
      <c r="E510" s="2"/>
      <c r="F510" s="2"/>
      <c r="G510" s="2"/>
    </row>
    <row r="511" spans="1:7">
      <c r="A511" s="6" t="s">
        <v>169</v>
      </c>
      <c r="B511" s="3" t="s">
        <v>133</v>
      </c>
      <c r="C511" s="3" t="s">
        <v>134</v>
      </c>
      <c r="D511" s="7" t="s">
        <v>165</v>
      </c>
      <c r="E511" s="3"/>
      <c r="F511" s="3"/>
      <c r="G511" s="3"/>
    </row>
    <row r="512" spans="1:7">
      <c r="A512" s="4" t="s">
        <v>170</v>
      </c>
      <c r="B512" s="2" t="s">
        <v>133</v>
      </c>
      <c r="C512" s="2" t="s">
        <v>134</v>
      </c>
      <c r="D512" s="5" t="s">
        <v>161</v>
      </c>
      <c r="E512" s="2"/>
      <c r="F512" s="2"/>
      <c r="G512" s="2"/>
    </row>
    <row r="513" spans="1:7">
      <c r="A513" s="6" t="s">
        <v>171</v>
      </c>
      <c r="B513" s="3" t="s">
        <v>133</v>
      </c>
      <c r="C513" s="3" t="s">
        <v>134</v>
      </c>
      <c r="D513" s="5" t="s">
        <v>161</v>
      </c>
      <c r="E513" s="3"/>
      <c r="F513" s="3"/>
      <c r="G513" s="3"/>
    </row>
    <row r="514" spans="1:7">
      <c r="A514" s="4" t="s">
        <v>172</v>
      </c>
      <c r="B514" s="2" t="s">
        <v>133</v>
      </c>
      <c r="C514" s="2" t="s">
        <v>134</v>
      </c>
      <c r="D514" s="5" t="s">
        <v>161</v>
      </c>
      <c r="E514" s="2"/>
      <c r="F514" s="2"/>
      <c r="G514" s="2"/>
    </row>
    <row r="515" spans="1:7">
      <c r="A515" s="6" t="s">
        <v>173</v>
      </c>
      <c r="B515" s="3" t="s">
        <v>133</v>
      </c>
      <c r="C515" s="3" t="s">
        <v>134</v>
      </c>
      <c r="D515" s="7" t="s">
        <v>165</v>
      </c>
      <c r="E515" s="3"/>
      <c r="F515" s="3"/>
      <c r="G515" s="3"/>
    </row>
    <row r="516" spans="1:7">
      <c r="A516" s="4" t="s">
        <v>174</v>
      </c>
      <c r="B516" s="2" t="s">
        <v>133</v>
      </c>
      <c r="C516" s="2" t="s">
        <v>134</v>
      </c>
      <c r="D516" s="7" t="s">
        <v>165</v>
      </c>
      <c r="E516" s="2"/>
      <c r="F516" s="2"/>
      <c r="G516" s="2"/>
    </row>
    <row r="517" spans="1:7">
      <c r="A517" s="6" t="s">
        <v>175</v>
      </c>
      <c r="B517" s="3" t="s">
        <v>133</v>
      </c>
      <c r="C517" s="3" t="s">
        <v>134</v>
      </c>
      <c r="D517" s="7" t="s">
        <v>165</v>
      </c>
      <c r="E517" s="3"/>
      <c r="F517" s="3"/>
      <c r="G517" s="3"/>
    </row>
    <row r="518" spans="1:7">
      <c r="A518" s="4" t="s">
        <v>176</v>
      </c>
      <c r="B518" s="2" t="s">
        <v>133</v>
      </c>
      <c r="C518" s="2" t="s">
        <v>134</v>
      </c>
      <c r="D518" s="5" t="s">
        <v>161</v>
      </c>
      <c r="E518" s="2"/>
      <c r="F518" s="2"/>
      <c r="G518" s="2"/>
    </row>
    <row r="519" spans="1:7">
      <c r="A519" s="6" t="s">
        <v>177</v>
      </c>
      <c r="B519" s="3" t="s">
        <v>133</v>
      </c>
      <c r="C519" s="3" t="s">
        <v>134</v>
      </c>
      <c r="D519" s="7" t="s">
        <v>165</v>
      </c>
      <c r="E519" s="3"/>
      <c r="F519" s="3"/>
      <c r="G519" s="3"/>
    </row>
    <row r="520" spans="1:7">
      <c r="A520" s="4" t="s">
        <v>178</v>
      </c>
      <c r="B520" s="2" t="s">
        <v>133</v>
      </c>
      <c r="C520" s="2" t="s">
        <v>134</v>
      </c>
      <c r="D520" s="5" t="s">
        <v>161</v>
      </c>
      <c r="E520" s="2"/>
      <c r="F520" s="2"/>
      <c r="G520" s="2"/>
    </row>
    <row r="521" spans="1:7">
      <c r="A521" s="6" t="s">
        <v>179</v>
      </c>
      <c r="B521" s="3" t="s">
        <v>133</v>
      </c>
      <c r="C521" s="3" t="s">
        <v>134</v>
      </c>
      <c r="D521" s="5" t="s">
        <v>161</v>
      </c>
      <c r="E521" s="3"/>
      <c r="F521" s="3"/>
      <c r="G521" s="3"/>
    </row>
    <row r="522" spans="1:7">
      <c r="A522" s="4" t="s">
        <v>180</v>
      </c>
      <c r="B522" s="2" t="s">
        <v>133</v>
      </c>
      <c r="C522" s="2" t="s">
        <v>134</v>
      </c>
      <c r="D522" s="7" t="s">
        <v>165</v>
      </c>
      <c r="E522" s="2"/>
      <c r="F522" s="2"/>
      <c r="G522" s="2"/>
    </row>
    <row r="523" spans="1:7">
      <c r="A523" s="6" t="s">
        <v>181</v>
      </c>
      <c r="B523" s="3" t="s">
        <v>133</v>
      </c>
      <c r="C523" s="3" t="s">
        <v>134</v>
      </c>
      <c r="D523" s="5" t="s">
        <v>161</v>
      </c>
      <c r="E523" s="3"/>
      <c r="F523" s="3"/>
      <c r="G523" s="3"/>
    </row>
    <row r="524" spans="1:7">
      <c r="A524" s="4" t="s">
        <v>160</v>
      </c>
      <c r="B524" s="2" t="s">
        <v>137</v>
      </c>
      <c r="C524" s="2" t="s">
        <v>138</v>
      </c>
      <c r="D524" s="5" t="s">
        <v>161</v>
      </c>
      <c r="E524" s="2"/>
      <c r="F524" s="2"/>
      <c r="G524" s="2"/>
    </row>
    <row r="525" spans="1:7">
      <c r="A525" s="6" t="s">
        <v>162</v>
      </c>
      <c r="B525" s="3" t="s">
        <v>137</v>
      </c>
      <c r="C525" s="3" t="s">
        <v>138</v>
      </c>
      <c r="D525" s="5" t="s">
        <v>161</v>
      </c>
      <c r="E525" s="3"/>
      <c r="F525" s="3"/>
      <c r="G525" s="3"/>
    </row>
    <row r="526" spans="1:7">
      <c r="A526" s="4" t="s">
        <v>163</v>
      </c>
      <c r="B526" s="2" t="s">
        <v>137</v>
      </c>
      <c r="C526" s="2" t="s">
        <v>138</v>
      </c>
      <c r="D526" s="5" t="s">
        <v>161</v>
      </c>
      <c r="E526" s="2"/>
      <c r="F526" s="2"/>
      <c r="G526" s="2"/>
    </row>
    <row r="527" spans="1:7">
      <c r="A527" s="6" t="s">
        <v>164</v>
      </c>
      <c r="B527" s="3" t="s">
        <v>137</v>
      </c>
      <c r="C527" s="3" t="s">
        <v>138</v>
      </c>
      <c r="D527" s="5" t="s">
        <v>161</v>
      </c>
      <c r="E527" s="3"/>
      <c r="F527" s="3"/>
      <c r="G527" s="3"/>
    </row>
    <row r="528" spans="1:7">
      <c r="A528" s="4" t="s">
        <v>166</v>
      </c>
      <c r="B528" s="2" t="s">
        <v>137</v>
      </c>
      <c r="C528" s="2" t="s">
        <v>138</v>
      </c>
      <c r="D528" s="5" t="s">
        <v>161</v>
      </c>
      <c r="E528" s="2"/>
      <c r="F528" s="2"/>
      <c r="G528" s="2"/>
    </row>
    <row r="529" spans="1:7">
      <c r="A529" s="6" t="s">
        <v>167</v>
      </c>
      <c r="B529" s="3" t="s">
        <v>137</v>
      </c>
      <c r="C529" s="3" t="s">
        <v>138</v>
      </c>
      <c r="D529" s="5" t="s">
        <v>161</v>
      </c>
      <c r="E529" s="3"/>
      <c r="F529" s="3"/>
      <c r="G529" s="3"/>
    </row>
    <row r="530" spans="1:7">
      <c r="A530" s="4" t="s">
        <v>168</v>
      </c>
      <c r="B530" s="2" t="s">
        <v>137</v>
      </c>
      <c r="C530" s="2" t="s">
        <v>138</v>
      </c>
      <c r="D530" s="5" t="s">
        <v>161</v>
      </c>
      <c r="E530" s="2"/>
      <c r="F530" s="2"/>
      <c r="G530" s="2"/>
    </row>
    <row r="531" spans="1:7">
      <c r="A531" s="6" t="s">
        <v>169</v>
      </c>
      <c r="B531" s="3" t="s">
        <v>137</v>
      </c>
      <c r="C531" s="3" t="s">
        <v>138</v>
      </c>
      <c r="D531" s="5" t="s">
        <v>161</v>
      </c>
      <c r="E531" s="3"/>
      <c r="F531" s="3"/>
      <c r="G531" s="3"/>
    </row>
    <row r="532" spans="1:7">
      <c r="A532" s="4" t="s">
        <v>170</v>
      </c>
      <c r="B532" s="2" t="s">
        <v>137</v>
      </c>
      <c r="C532" s="2" t="s">
        <v>138</v>
      </c>
      <c r="D532" s="5" t="s">
        <v>161</v>
      </c>
      <c r="E532" s="2"/>
      <c r="F532" s="2"/>
      <c r="G532" s="2"/>
    </row>
    <row r="533" spans="1:7">
      <c r="A533" s="6" t="s">
        <v>171</v>
      </c>
      <c r="B533" s="3" t="s">
        <v>137</v>
      </c>
      <c r="C533" s="3" t="s">
        <v>138</v>
      </c>
      <c r="D533" s="5" t="s">
        <v>161</v>
      </c>
      <c r="E533" s="3"/>
      <c r="F533" s="3"/>
      <c r="G533" s="3"/>
    </row>
    <row r="534" spans="1:7">
      <c r="A534" s="4" t="s">
        <v>172</v>
      </c>
      <c r="B534" s="2" t="s">
        <v>137</v>
      </c>
      <c r="C534" s="2" t="s">
        <v>138</v>
      </c>
      <c r="D534" s="5" t="s">
        <v>161</v>
      </c>
      <c r="E534" s="2"/>
      <c r="F534" s="2"/>
      <c r="G534" s="2"/>
    </row>
    <row r="535" spans="1:7">
      <c r="A535" s="6" t="s">
        <v>173</v>
      </c>
      <c r="B535" s="3" t="s">
        <v>137</v>
      </c>
      <c r="C535" s="3" t="s">
        <v>138</v>
      </c>
      <c r="D535" s="5" t="s">
        <v>161</v>
      </c>
      <c r="E535" s="3"/>
      <c r="F535" s="3"/>
      <c r="G535" s="3"/>
    </row>
    <row r="536" spans="1:7">
      <c r="A536" s="4" t="s">
        <v>174</v>
      </c>
      <c r="B536" s="2" t="s">
        <v>137</v>
      </c>
      <c r="C536" s="2" t="s">
        <v>138</v>
      </c>
      <c r="D536" s="7" t="s">
        <v>165</v>
      </c>
      <c r="E536" s="2"/>
      <c r="F536" s="2"/>
      <c r="G536" s="2"/>
    </row>
    <row r="537" spans="1:7">
      <c r="A537" s="6" t="s">
        <v>175</v>
      </c>
      <c r="B537" s="3" t="s">
        <v>137</v>
      </c>
      <c r="C537" s="3" t="s">
        <v>138</v>
      </c>
      <c r="D537" s="5" t="s">
        <v>161</v>
      </c>
      <c r="E537" s="3"/>
      <c r="F537" s="3"/>
      <c r="G537" s="3"/>
    </row>
    <row r="538" spans="1:7">
      <c r="A538" s="4" t="s">
        <v>176</v>
      </c>
      <c r="B538" s="2" t="s">
        <v>137</v>
      </c>
      <c r="C538" s="2" t="s">
        <v>138</v>
      </c>
      <c r="D538" s="5" t="s">
        <v>161</v>
      </c>
      <c r="E538" s="2"/>
      <c r="F538" s="2"/>
      <c r="G538" s="2"/>
    </row>
    <row r="539" spans="1:7">
      <c r="A539" s="6" t="s">
        <v>177</v>
      </c>
      <c r="B539" s="3" t="s">
        <v>137</v>
      </c>
      <c r="C539" s="3" t="s">
        <v>138</v>
      </c>
      <c r="D539" s="5" t="s">
        <v>161</v>
      </c>
      <c r="E539" s="3"/>
      <c r="F539" s="3"/>
      <c r="G539" s="3"/>
    </row>
    <row r="540" spans="1:7">
      <c r="A540" s="4" t="s">
        <v>178</v>
      </c>
      <c r="B540" s="2" t="s">
        <v>137</v>
      </c>
      <c r="C540" s="2" t="s">
        <v>138</v>
      </c>
      <c r="D540" s="5" t="s">
        <v>161</v>
      </c>
      <c r="E540" s="2"/>
      <c r="F540" s="2"/>
      <c r="G540" s="2"/>
    </row>
    <row r="541" spans="1:7">
      <c r="A541" s="6" t="s">
        <v>179</v>
      </c>
      <c r="B541" s="3" t="s">
        <v>137</v>
      </c>
      <c r="C541" s="3" t="s">
        <v>138</v>
      </c>
      <c r="D541" s="5" t="s">
        <v>161</v>
      </c>
      <c r="E541" s="3"/>
      <c r="F541" s="3"/>
      <c r="G541" s="3"/>
    </row>
    <row r="542" spans="1:7">
      <c r="A542" s="4" t="s">
        <v>180</v>
      </c>
      <c r="B542" s="2" t="s">
        <v>137</v>
      </c>
      <c r="C542" s="2" t="s">
        <v>138</v>
      </c>
      <c r="D542" s="5" t="s">
        <v>161</v>
      </c>
      <c r="E542" s="2"/>
      <c r="F542" s="2"/>
      <c r="G542" s="2"/>
    </row>
    <row r="543" spans="1:7">
      <c r="A543" s="6" t="s">
        <v>181</v>
      </c>
      <c r="B543" s="3" t="s">
        <v>137</v>
      </c>
      <c r="C543" s="3" t="s">
        <v>138</v>
      </c>
      <c r="D543" s="5" t="s">
        <v>161</v>
      </c>
      <c r="E543" s="3"/>
      <c r="F543" s="3"/>
      <c r="G543" s="3"/>
    </row>
    <row r="544" spans="1:7">
      <c r="A544" s="4" t="s">
        <v>160</v>
      </c>
      <c r="B544" s="2" t="s">
        <v>141</v>
      </c>
      <c r="C544" s="2" t="s">
        <v>142</v>
      </c>
      <c r="D544" s="5" t="s">
        <v>161</v>
      </c>
      <c r="E544" s="2"/>
      <c r="F544" s="2"/>
      <c r="G544" s="2"/>
    </row>
    <row r="545" spans="1:7">
      <c r="A545" s="6" t="s">
        <v>162</v>
      </c>
      <c r="B545" s="3" t="s">
        <v>141</v>
      </c>
      <c r="C545" s="3" t="s">
        <v>142</v>
      </c>
      <c r="D545" s="5" t="s">
        <v>161</v>
      </c>
      <c r="E545" s="3"/>
      <c r="F545" s="3"/>
      <c r="G545" s="3"/>
    </row>
    <row r="546" spans="1:7">
      <c r="A546" s="4" t="s">
        <v>163</v>
      </c>
      <c r="B546" s="2" t="s">
        <v>141</v>
      </c>
      <c r="C546" s="2" t="s">
        <v>142</v>
      </c>
      <c r="D546" s="5" t="s">
        <v>161</v>
      </c>
      <c r="E546" s="2"/>
      <c r="F546" s="2"/>
      <c r="G546" s="2"/>
    </row>
    <row r="547" spans="1:7">
      <c r="A547" s="6" t="s">
        <v>164</v>
      </c>
      <c r="B547" s="3" t="s">
        <v>141</v>
      </c>
      <c r="C547" s="3" t="s">
        <v>142</v>
      </c>
      <c r="D547" s="5" t="s">
        <v>161</v>
      </c>
      <c r="E547" s="3"/>
      <c r="F547" s="3"/>
      <c r="G547" s="3"/>
    </row>
    <row r="548" spans="1:7">
      <c r="A548" s="4" t="s">
        <v>166</v>
      </c>
      <c r="B548" s="2" t="s">
        <v>141</v>
      </c>
      <c r="C548" s="2" t="s">
        <v>142</v>
      </c>
      <c r="D548" s="5" t="s">
        <v>161</v>
      </c>
      <c r="E548" s="2"/>
      <c r="F548" s="2"/>
      <c r="G548" s="2"/>
    </row>
    <row r="549" spans="1:7">
      <c r="A549" s="6" t="s">
        <v>167</v>
      </c>
      <c r="B549" s="3" t="s">
        <v>141</v>
      </c>
      <c r="C549" s="3" t="s">
        <v>142</v>
      </c>
      <c r="D549" s="5" t="s">
        <v>161</v>
      </c>
      <c r="E549" s="3"/>
      <c r="F549" s="3"/>
      <c r="G549" s="3"/>
    </row>
    <row r="550" spans="1:7">
      <c r="A550" s="4" t="s">
        <v>168</v>
      </c>
      <c r="B550" s="2" t="s">
        <v>141</v>
      </c>
      <c r="C550" s="2" t="s">
        <v>142</v>
      </c>
      <c r="D550" s="5" t="s">
        <v>161</v>
      </c>
      <c r="E550" s="2"/>
      <c r="F550" s="2"/>
      <c r="G550" s="2"/>
    </row>
    <row r="551" spans="1:7">
      <c r="A551" s="6" t="s">
        <v>169</v>
      </c>
      <c r="B551" s="3" t="s">
        <v>141</v>
      </c>
      <c r="C551" s="3" t="s">
        <v>142</v>
      </c>
      <c r="D551" s="5" t="s">
        <v>161</v>
      </c>
      <c r="E551" s="3"/>
      <c r="F551" s="3"/>
      <c r="G551" s="3"/>
    </row>
    <row r="552" spans="1:7">
      <c r="A552" s="4" t="s">
        <v>170</v>
      </c>
      <c r="B552" s="2" t="s">
        <v>141</v>
      </c>
      <c r="C552" s="2" t="s">
        <v>142</v>
      </c>
      <c r="D552" s="5" t="s">
        <v>161</v>
      </c>
      <c r="E552" s="2"/>
      <c r="F552" s="2"/>
      <c r="G552" s="2"/>
    </row>
    <row r="553" spans="1:7">
      <c r="A553" s="6" t="s">
        <v>171</v>
      </c>
      <c r="B553" s="3" t="s">
        <v>141</v>
      </c>
      <c r="C553" s="3" t="s">
        <v>142</v>
      </c>
      <c r="D553" s="5" t="s">
        <v>161</v>
      </c>
      <c r="E553" s="3"/>
      <c r="F553" s="3"/>
      <c r="G553" s="3"/>
    </row>
    <row r="554" spans="1:7">
      <c r="A554" s="4" t="s">
        <v>172</v>
      </c>
      <c r="B554" s="2" t="s">
        <v>141</v>
      </c>
      <c r="C554" s="2" t="s">
        <v>142</v>
      </c>
      <c r="D554" s="5" t="s">
        <v>161</v>
      </c>
      <c r="E554" s="2"/>
      <c r="F554" s="2"/>
      <c r="G554" s="2"/>
    </row>
    <row r="555" spans="1:7">
      <c r="A555" s="6" t="s">
        <v>173</v>
      </c>
      <c r="B555" s="3" t="s">
        <v>141</v>
      </c>
      <c r="C555" s="3" t="s">
        <v>142</v>
      </c>
      <c r="D555" s="5" t="s">
        <v>161</v>
      </c>
      <c r="E555" s="3"/>
      <c r="F555" s="3"/>
      <c r="G555" s="3"/>
    </row>
    <row r="556" spans="1:7">
      <c r="A556" s="4" t="s">
        <v>174</v>
      </c>
      <c r="B556" s="2" t="s">
        <v>141</v>
      </c>
      <c r="C556" s="2" t="s">
        <v>142</v>
      </c>
      <c r="D556" s="5" t="s">
        <v>161</v>
      </c>
      <c r="E556" s="2"/>
      <c r="F556" s="2"/>
      <c r="G556" s="2"/>
    </row>
    <row r="557" spans="1:7">
      <c r="A557" s="6" t="s">
        <v>175</v>
      </c>
      <c r="B557" s="3" t="s">
        <v>141</v>
      </c>
      <c r="C557" s="3" t="s">
        <v>142</v>
      </c>
      <c r="D557" s="5" t="s">
        <v>161</v>
      </c>
      <c r="E557" s="3"/>
      <c r="F557" s="3"/>
      <c r="G557" s="3"/>
    </row>
    <row r="558" spans="1:7">
      <c r="A558" s="4" t="s">
        <v>176</v>
      </c>
      <c r="B558" s="2" t="s">
        <v>141</v>
      </c>
      <c r="C558" s="2" t="s">
        <v>142</v>
      </c>
      <c r="D558" s="5" t="s">
        <v>161</v>
      </c>
      <c r="E558" s="2"/>
      <c r="F558" s="2"/>
      <c r="G558" s="2"/>
    </row>
    <row r="559" spans="1:7">
      <c r="A559" s="6" t="s">
        <v>177</v>
      </c>
      <c r="B559" s="3" t="s">
        <v>141</v>
      </c>
      <c r="C559" s="3" t="s">
        <v>142</v>
      </c>
      <c r="D559" s="5" t="s">
        <v>161</v>
      </c>
      <c r="E559" s="3"/>
      <c r="F559" s="3"/>
      <c r="G559" s="3"/>
    </row>
    <row r="560" spans="1:7">
      <c r="A560" s="4" t="s">
        <v>178</v>
      </c>
      <c r="B560" s="2" t="s">
        <v>141</v>
      </c>
      <c r="C560" s="2" t="s">
        <v>142</v>
      </c>
      <c r="D560" s="7" t="s">
        <v>165</v>
      </c>
      <c r="E560" s="2"/>
      <c r="F560" s="2"/>
      <c r="G560" s="2"/>
    </row>
    <row r="561" spans="1:7">
      <c r="A561" s="6" t="s">
        <v>179</v>
      </c>
      <c r="B561" s="3" t="s">
        <v>141</v>
      </c>
      <c r="C561" s="3" t="s">
        <v>142</v>
      </c>
      <c r="D561" s="5" t="s">
        <v>161</v>
      </c>
      <c r="E561" s="3"/>
      <c r="F561" s="3"/>
      <c r="G561" s="3"/>
    </row>
    <row r="562" spans="1:7">
      <c r="A562" s="4" t="s">
        <v>180</v>
      </c>
      <c r="B562" s="2" t="s">
        <v>141</v>
      </c>
      <c r="C562" s="2" t="s">
        <v>142</v>
      </c>
      <c r="D562" s="5" t="s">
        <v>161</v>
      </c>
      <c r="E562" s="2"/>
      <c r="F562" s="2"/>
      <c r="G562" s="2"/>
    </row>
    <row r="563" spans="1:7">
      <c r="A563" s="6" t="s">
        <v>181</v>
      </c>
      <c r="B563" s="3" t="s">
        <v>141</v>
      </c>
      <c r="C563" s="3" t="s">
        <v>142</v>
      </c>
      <c r="D563" s="5" t="s">
        <v>161</v>
      </c>
      <c r="E563" s="3"/>
      <c r="F563" s="3"/>
      <c r="G563" s="3"/>
    </row>
    <row r="564" spans="1:7">
      <c r="A564" s="4" t="s">
        <v>160</v>
      </c>
      <c r="B564" s="2" t="s">
        <v>145</v>
      </c>
      <c r="C564" s="2" t="s">
        <v>146</v>
      </c>
      <c r="D564" s="5" t="s">
        <v>161</v>
      </c>
      <c r="E564" s="2"/>
      <c r="F564" s="2"/>
      <c r="G564" s="2"/>
    </row>
    <row r="565" spans="1:7">
      <c r="A565" s="6" t="s">
        <v>162</v>
      </c>
      <c r="B565" s="3" t="s">
        <v>145</v>
      </c>
      <c r="C565" s="3" t="s">
        <v>146</v>
      </c>
      <c r="D565" s="7" t="s">
        <v>165</v>
      </c>
      <c r="E565" s="3"/>
      <c r="F565" s="3"/>
      <c r="G565" s="3"/>
    </row>
    <row r="566" spans="1:7">
      <c r="A566" s="4" t="s">
        <v>163</v>
      </c>
      <c r="B566" s="2" t="s">
        <v>145</v>
      </c>
      <c r="C566" s="2" t="s">
        <v>146</v>
      </c>
      <c r="D566" s="5" t="s">
        <v>161</v>
      </c>
      <c r="E566" s="2"/>
      <c r="F566" s="2"/>
      <c r="G566" s="2"/>
    </row>
    <row r="567" spans="1:7">
      <c r="A567" s="6" t="s">
        <v>164</v>
      </c>
      <c r="B567" s="3" t="s">
        <v>145</v>
      </c>
      <c r="C567" s="3" t="s">
        <v>146</v>
      </c>
      <c r="D567" s="5" t="s">
        <v>161</v>
      </c>
      <c r="E567" s="3"/>
      <c r="F567" s="3"/>
      <c r="G567" s="3"/>
    </row>
    <row r="568" spans="1:7">
      <c r="A568" s="4" t="s">
        <v>166</v>
      </c>
      <c r="B568" s="2" t="s">
        <v>145</v>
      </c>
      <c r="C568" s="2" t="s">
        <v>146</v>
      </c>
      <c r="D568" s="5" t="s">
        <v>161</v>
      </c>
      <c r="E568" s="2"/>
      <c r="F568" s="2"/>
      <c r="G568" s="2"/>
    </row>
    <row r="569" spans="1:7">
      <c r="A569" s="6" t="s">
        <v>167</v>
      </c>
      <c r="B569" s="3" t="s">
        <v>145</v>
      </c>
      <c r="C569" s="3" t="s">
        <v>146</v>
      </c>
      <c r="D569" s="5" t="s">
        <v>161</v>
      </c>
      <c r="E569" s="3"/>
      <c r="F569" s="3"/>
      <c r="G569" s="3"/>
    </row>
    <row r="570" spans="1:7">
      <c r="A570" s="4" t="s">
        <v>168</v>
      </c>
      <c r="B570" s="2" t="s">
        <v>145</v>
      </c>
      <c r="C570" s="2" t="s">
        <v>146</v>
      </c>
      <c r="D570" s="5" t="s">
        <v>161</v>
      </c>
      <c r="E570" s="2"/>
      <c r="F570" s="2"/>
      <c r="G570" s="2"/>
    </row>
    <row r="571" spans="1:7">
      <c r="A571" s="6" t="s">
        <v>169</v>
      </c>
      <c r="B571" s="3" t="s">
        <v>145</v>
      </c>
      <c r="C571" s="3" t="s">
        <v>146</v>
      </c>
      <c r="D571" s="5" t="s">
        <v>161</v>
      </c>
      <c r="E571" s="3"/>
      <c r="F571" s="3"/>
      <c r="G571" s="3"/>
    </row>
    <row r="572" spans="1:7">
      <c r="A572" s="4" t="s">
        <v>170</v>
      </c>
      <c r="B572" s="2" t="s">
        <v>145</v>
      </c>
      <c r="C572" s="2" t="s">
        <v>146</v>
      </c>
      <c r="D572" s="5" t="s">
        <v>161</v>
      </c>
      <c r="E572" s="2"/>
      <c r="F572" s="2"/>
      <c r="G572" s="2"/>
    </row>
    <row r="573" spans="1:7">
      <c r="A573" s="6" t="s">
        <v>171</v>
      </c>
      <c r="B573" s="3" t="s">
        <v>145</v>
      </c>
      <c r="C573" s="3" t="s">
        <v>146</v>
      </c>
      <c r="D573" s="5" t="s">
        <v>161</v>
      </c>
      <c r="E573" s="3"/>
      <c r="F573" s="3"/>
      <c r="G573" s="3"/>
    </row>
    <row r="574" spans="1:7">
      <c r="A574" s="4" t="s">
        <v>172</v>
      </c>
      <c r="B574" s="2" t="s">
        <v>145</v>
      </c>
      <c r="C574" s="2" t="s">
        <v>146</v>
      </c>
      <c r="D574" s="5" t="s">
        <v>161</v>
      </c>
      <c r="E574" s="2"/>
      <c r="F574" s="2"/>
      <c r="G574" s="2"/>
    </row>
    <row r="575" spans="1:7">
      <c r="A575" s="6" t="s">
        <v>173</v>
      </c>
      <c r="B575" s="3" t="s">
        <v>145</v>
      </c>
      <c r="C575" s="3" t="s">
        <v>146</v>
      </c>
      <c r="D575" s="5" t="s">
        <v>161</v>
      </c>
      <c r="E575" s="3"/>
      <c r="F575" s="3"/>
      <c r="G575" s="3"/>
    </row>
    <row r="576" spans="1:7">
      <c r="A576" s="4" t="s">
        <v>174</v>
      </c>
      <c r="B576" s="2" t="s">
        <v>145</v>
      </c>
      <c r="C576" s="2" t="s">
        <v>146</v>
      </c>
      <c r="D576" s="5" t="s">
        <v>161</v>
      </c>
      <c r="E576" s="2"/>
      <c r="F576" s="2"/>
      <c r="G576" s="2"/>
    </row>
    <row r="577" spans="1:7">
      <c r="A577" s="6" t="s">
        <v>175</v>
      </c>
      <c r="B577" s="3" t="s">
        <v>145</v>
      </c>
      <c r="C577" s="3" t="s">
        <v>146</v>
      </c>
      <c r="D577" s="5" t="s">
        <v>161</v>
      </c>
      <c r="E577" s="3"/>
      <c r="F577" s="3"/>
      <c r="G577" s="3"/>
    </row>
    <row r="578" spans="1:7">
      <c r="A578" s="4" t="s">
        <v>176</v>
      </c>
      <c r="B578" s="2" t="s">
        <v>145</v>
      </c>
      <c r="C578" s="2" t="s">
        <v>146</v>
      </c>
      <c r="D578" s="5" t="s">
        <v>161</v>
      </c>
      <c r="E578" s="2"/>
      <c r="F578" s="2"/>
      <c r="G578" s="2"/>
    </row>
    <row r="579" spans="1:7">
      <c r="A579" s="6" t="s">
        <v>177</v>
      </c>
      <c r="B579" s="3" t="s">
        <v>145</v>
      </c>
      <c r="C579" s="3" t="s">
        <v>146</v>
      </c>
      <c r="D579" s="5" t="s">
        <v>161</v>
      </c>
      <c r="E579" s="3"/>
      <c r="F579" s="3"/>
      <c r="G579" s="3"/>
    </row>
    <row r="580" spans="1:7">
      <c r="A580" s="4" t="s">
        <v>178</v>
      </c>
      <c r="B580" s="2" t="s">
        <v>145</v>
      </c>
      <c r="C580" s="2" t="s">
        <v>146</v>
      </c>
      <c r="D580" s="5" t="s">
        <v>161</v>
      </c>
      <c r="E580" s="2"/>
      <c r="F580" s="2"/>
      <c r="G580" s="2"/>
    </row>
    <row r="581" spans="1:7">
      <c r="A581" s="6" t="s">
        <v>179</v>
      </c>
      <c r="B581" s="3" t="s">
        <v>145</v>
      </c>
      <c r="C581" s="3" t="s">
        <v>146</v>
      </c>
      <c r="D581" s="5" t="s">
        <v>161</v>
      </c>
      <c r="E581" s="3"/>
      <c r="F581" s="3"/>
      <c r="G581" s="3"/>
    </row>
    <row r="582" spans="1:7">
      <c r="A582" s="4" t="s">
        <v>180</v>
      </c>
      <c r="B582" s="2" t="s">
        <v>145</v>
      </c>
      <c r="C582" s="2" t="s">
        <v>146</v>
      </c>
      <c r="D582" s="5" t="s">
        <v>161</v>
      </c>
      <c r="E582" s="2"/>
      <c r="F582" s="2"/>
      <c r="G582" s="2"/>
    </row>
    <row r="583" spans="1:7">
      <c r="A583" s="6" t="s">
        <v>181</v>
      </c>
      <c r="B583" s="3" t="s">
        <v>145</v>
      </c>
      <c r="C583" s="3" t="s">
        <v>146</v>
      </c>
      <c r="D583" s="5" t="s">
        <v>161</v>
      </c>
      <c r="E583" s="3"/>
      <c r="F583" s="3"/>
      <c r="G583" s="3"/>
    </row>
    <row r="584" spans="1:7">
      <c r="A584" s="4" t="s">
        <v>160</v>
      </c>
      <c r="B584" s="2" t="s">
        <v>149</v>
      </c>
      <c r="C584" s="2" t="s">
        <v>150</v>
      </c>
      <c r="D584" s="5" t="s">
        <v>161</v>
      </c>
      <c r="E584" s="2"/>
      <c r="F584" s="2"/>
      <c r="G584" s="2"/>
    </row>
    <row r="585" spans="1:7">
      <c r="A585" s="6" t="s">
        <v>162</v>
      </c>
      <c r="B585" s="3" t="s">
        <v>149</v>
      </c>
      <c r="C585" s="3" t="s">
        <v>150</v>
      </c>
      <c r="D585" s="5" t="s">
        <v>161</v>
      </c>
      <c r="E585" s="3"/>
      <c r="F585" s="3"/>
      <c r="G585" s="3"/>
    </row>
    <row r="586" spans="1:7">
      <c r="A586" s="4" t="s">
        <v>163</v>
      </c>
      <c r="B586" s="2" t="s">
        <v>149</v>
      </c>
      <c r="C586" s="2" t="s">
        <v>150</v>
      </c>
      <c r="D586" s="5" t="s">
        <v>161</v>
      </c>
      <c r="E586" s="2"/>
      <c r="F586" s="2"/>
      <c r="G586" s="2"/>
    </row>
    <row r="587" spans="1:7">
      <c r="A587" s="6" t="s">
        <v>164</v>
      </c>
      <c r="B587" s="3" t="s">
        <v>149</v>
      </c>
      <c r="C587" s="3" t="s">
        <v>150</v>
      </c>
      <c r="D587" s="5" t="s">
        <v>161</v>
      </c>
      <c r="E587" s="3"/>
      <c r="F587" s="3"/>
      <c r="G587" s="3"/>
    </row>
    <row r="588" spans="1:7">
      <c r="A588" s="4" t="s">
        <v>166</v>
      </c>
      <c r="B588" s="2" t="s">
        <v>149</v>
      </c>
      <c r="C588" s="2" t="s">
        <v>150</v>
      </c>
      <c r="D588" s="5" t="s">
        <v>161</v>
      </c>
      <c r="E588" s="2"/>
      <c r="F588" s="2"/>
      <c r="G588" s="2"/>
    </row>
    <row r="589" spans="1:7">
      <c r="A589" s="6" t="s">
        <v>167</v>
      </c>
      <c r="B589" s="3" t="s">
        <v>149</v>
      </c>
      <c r="C589" s="3" t="s">
        <v>150</v>
      </c>
      <c r="D589" s="5" t="s">
        <v>161</v>
      </c>
      <c r="E589" s="3"/>
      <c r="F589" s="3"/>
      <c r="G589" s="3"/>
    </row>
    <row r="590" spans="1:7">
      <c r="A590" s="4" t="s">
        <v>168</v>
      </c>
      <c r="B590" s="2" t="s">
        <v>149</v>
      </c>
      <c r="C590" s="2" t="s">
        <v>150</v>
      </c>
      <c r="D590" s="5" t="s">
        <v>161</v>
      </c>
      <c r="E590" s="2"/>
      <c r="F590" s="2"/>
      <c r="G590" s="2"/>
    </row>
    <row r="591" spans="1:7">
      <c r="A591" s="6" t="s">
        <v>169</v>
      </c>
      <c r="B591" s="3" t="s">
        <v>149</v>
      </c>
      <c r="C591" s="3" t="s">
        <v>150</v>
      </c>
      <c r="D591" s="5" t="s">
        <v>161</v>
      </c>
      <c r="E591" s="3"/>
      <c r="F591" s="3"/>
      <c r="G591" s="3"/>
    </row>
    <row r="592" spans="1:7">
      <c r="A592" s="4" t="s">
        <v>170</v>
      </c>
      <c r="B592" s="2" t="s">
        <v>149</v>
      </c>
      <c r="C592" s="2" t="s">
        <v>150</v>
      </c>
      <c r="D592" s="5" t="s">
        <v>161</v>
      </c>
      <c r="E592" s="2"/>
      <c r="F592" s="2"/>
      <c r="G592" s="2"/>
    </row>
    <row r="593" spans="1:7">
      <c r="A593" s="6" t="s">
        <v>171</v>
      </c>
      <c r="B593" s="3" t="s">
        <v>149</v>
      </c>
      <c r="C593" s="3" t="s">
        <v>150</v>
      </c>
      <c r="D593" s="5" t="s">
        <v>161</v>
      </c>
      <c r="E593" s="3"/>
      <c r="F593" s="3"/>
      <c r="G593" s="3"/>
    </row>
    <row r="594" spans="1:7">
      <c r="A594" s="4" t="s">
        <v>172</v>
      </c>
      <c r="B594" s="2" t="s">
        <v>149</v>
      </c>
      <c r="C594" s="2" t="s">
        <v>150</v>
      </c>
      <c r="D594" s="5" t="s">
        <v>161</v>
      </c>
      <c r="E594" s="2"/>
      <c r="F594" s="2"/>
      <c r="G594" s="2"/>
    </row>
    <row r="595" spans="1:7">
      <c r="A595" s="6" t="s">
        <v>173</v>
      </c>
      <c r="B595" s="3" t="s">
        <v>149</v>
      </c>
      <c r="C595" s="3" t="s">
        <v>150</v>
      </c>
      <c r="D595" s="5" t="s">
        <v>161</v>
      </c>
      <c r="E595" s="3"/>
      <c r="F595" s="3"/>
      <c r="G595" s="3"/>
    </row>
    <row r="596" spans="1:7">
      <c r="A596" s="4" t="s">
        <v>174</v>
      </c>
      <c r="B596" s="2" t="s">
        <v>149</v>
      </c>
      <c r="C596" s="2" t="s">
        <v>150</v>
      </c>
      <c r="D596" s="5" t="s">
        <v>161</v>
      </c>
      <c r="E596" s="2"/>
      <c r="F596" s="2"/>
      <c r="G596" s="2"/>
    </row>
    <row r="597" spans="1:7">
      <c r="A597" s="6" t="s">
        <v>175</v>
      </c>
      <c r="B597" s="3" t="s">
        <v>149</v>
      </c>
      <c r="C597" s="3" t="s">
        <v>150</v>
      </c>
      <c r="D597" s="5" t="s">
        <v>161</v>
      </c>
      <c r="E597" s="3"/>
      <c r="F597" s="3"/>
      <c r="G597" s="3"/>
    </row>
    <row r="598" spans="1:7">
      <c r="A598" s="4" t="s">
        <v>176</v>
      </c>
      <c r="B598" s="2" t="s">
        <v>149</v>
      </c>
      <c r="C598" s="2" t="s">
        <v>150</v>
      </c>
      <c r="D598" s="5" t="s">
        <v>161</v>
      </c>
      <c r="E598" s="2"/>
      <c r="F598" s="2"/>
      <c r="G598" s="2"/>
    </row>
    <row r="599" spans="1:7">
      <c r="A599" s="6" t="s">
        <v>177</v>
      </c>
      <c r="B599" s="3" t="s">
        <v>149</v>
      </c>
      <c r="C599" s="3" t="s">
        <v>150</v>
      </c>
      <c r="D599" s="5" t="s">
        <v>161</v>
      </c>
      <c r="E599" s="3"/>
      <c r="F599" s="3"/>
      <c r="G599" s="3"/>
    </row>
    <row r="600" spans="1:7">
      <c r="A600" s="4" t="s">
        <v>178</v>
      </c>
      <c r="B600" s="2" t="s">
        <v>149</v>
      </c>
      <c r="C600" s="2" t="s">
        <v>150</v>
      </c>
      <c r="D600" s="5" t="s">
        <v>161</v>
      </c>
      <c r="E600" s="2"/>
      <c r="F600" s="2"/>
      <c r="G600" s="2"/>
    </row>
    <row r="601" spans="1:7">
      <c r="A601" s="6" t="s">
        <v>179</v>
      </c>
      <c r="B601" s="3" t="s">
        <v>149</v>
      </c>
      <c r="C601" s="3" t="s">
        <v>150</v>
      </c>
      <c r="D601" s="5" t="s">
        <v>161</v>
      </c>
      <c r="E601" s="3"/>
      <c r="F601" s="3"/>
      <c r="G601" s="3"/>
    </row>
    <row r="602" spans="1:7">
      <c r="A602" s="4" t="s">
        <v>180</v>
      </c>
      <c r="B602" s="2" t="s">
        <v>149</v>
      </c>
      <c r="C602" s="2" t="s">
        <v>150</v>
      </c>
      <c r="D602" s="5" t="s">
        <v>161</v>
      </c>
      <c r="E602" s="2"/>
      <c r="F602" s="2"/>
      <c r="G602" s="2"/>
    </row>
    <row r="603" spans="1:7">
      <c r="A603" s="6" t="s">
        <v>181</v>
      </c>
      <c r="B603" s="3" t="s">
        <v>149</v>
      </c>
      <c r="C603" s="3" t="s">
        <v>150</v>
      </c>
      <c r="D603" s="5" t="s">
        <v>161</v>
      </c>
      <c r="E603" s="3"/>
      <c r="F603" s="3"/>
      <c r="G603" s="3"/>
    </row>
    <row r="606" spans="1:7" ht="15.6">
      <c r="A606" s="47" t="s">
        <v>182</v>
      </c>
      <c r="B606" s="47"/>
      <c r="C606" s="47"/>
      <c r="D606" s="47"/>
      <c r="E606" s="47"/>
      <c r="F606" s="47"/>
      <c r="G606" s="47"/>
    </row>
    <row r="607" spans="1:7" ht="30" customHeight="1">
      <c r="A607" s="8" t="s">
        <v>3</v>
      </c>
      <c r="B607" s="8" t="s">
        <v>183</v>
      </c>
      <c r="C607" s="8" t="s">
        <v>184</v>
      </c>
      <c r="D607" s="8" t="s">
        <v>158</v>
      </c>
      <c r="E607" s="8" t="s">
        <v>159</v>
      </c>
    </row>
    <row r="608" spans="1:7">
      <c r="A608" s="2" t="s">
        <v>23</v>
      </c>
      <c r="B608" s="4">
        <f t="shared" ref="B608:B637" si="0">COUNTIFS(C$4:C$603,A608,D$4:D$603,"Present")</f>
        <v>17</v>
      </c>
      <c r="C608" s="4">
        <f t="shared" ref="C608:C637" si="1">COUNTIFS(C$4:C$603,A608,D$4:D$603,"Absent")</f>
        <v>3</v>
      </c>
      <c r="D608" s="4">
        <f t="shared" ref="D608:D637" si="2">B608+C608</f>
        <v>20</v>
      </c>
      <c r="E608" s="9">
        <f t="shared" ref="E608:E637" si="3">IFERROR(B608/D608,0)</f>
        <v>0.85</v>
      </c>
    </row>
    <row r="609" spans="1:5">
      <c r="A609" s="3" t="s">
        <v>32</v>
      </c>
      <c r="B609" s="6">
        <f t="shared" si="0"/>
        <v>16</v>
      </c>
      <c r="C609" s="6">
        <f t="shared" si="1"/>
        <v>4</v>
      </c>
      <c r="D609" s="6">
        <f t="shared" si="2"/>
        <v>20</v>
      </c>
      <c r="E609" s="10">
        <f t="shared" si="3"/>
        <v>0.8</v>
      </c>
    </row>
    <row r="610" spans="1:5">
      <c r="A610" s="2" t="s">
        <v>38</v>
      </c>
      <c r="B610" s="4">
        <f t="shared" si="0"/>
        <v>18</v>
      </c>
      <c r="C610" s="4">
        <f t="shared" si="1"/>
        <v>2</v>
      </c>
      <c r="D610" s="4">
        <f t="shared" si="2"/>
        <v>20</v>
      </c>
      <c r="E610" s="9">
        <f t="shared" si="3"/>
        <v>0.9</v>
      </c>
    </row>
    <row r="611" spans="1:5">
      <c r="A611" s="3" t="s">
        <v>44</v>
      </c>
      <c r="B611" s="6">
        <f t="shared" si="0"/>
        <v>15</v>
      </c>
      <c r="C611" s="6">
        <f t="shared" si="1"/>
        <v>5</v>
      </c>
      <c r="D611" s="6">
        <f t="shared" si="2"/>
        <v>20</v>
      </c>
      <c r="E611" s="10">
        <f t="shared" si="3"/>
        <v>0.75</v>
      </c>
    </row>
    <row r="612" spans="1:5">
      <c r="A612" s="2" t="s">
        <v>49</v>
      </c>
      <c r="B612" s="4">
        <f t="shared" si="0"/>
        <v>16</v>
      </c>
      <c r="C612" s="4">
        <f t="shared" si="1"/>
        <v>4</v>
      </c>
      <c r="D612" s="4">
        <f t="shared" si="2"/>
        <v>20</v>
      </c>
      <c r="E612" s="9">
        <f t="shared" si="3"/>
        <v>0.8</v>
      </c>
    </row>
    <row r="613" spans="1:5">
      <c r="A613" s="3" t="s">
        <v>54</v>
      </c>
      <c r="B613" s="6">
        <f t="shared" si="0"/>
        <v>16</v>
      </c>
      <c r="C613" s="6">
        <f t="shared" si="1"/>
        <v>4</v>
      </c>
      <c r="D613" s="6">
        <f t="shared" si="2"/>
        <v>20</v>
      </c>
      <c r="E613" s="10">
        <f t="shared" si="3"/>
        <v>0.8</v>
      </c>
    </row>
    <row r="614" spans="1:5">
      <c r="A614" s="2" t="s">
        <v>58</v>
      </c>
      <c r="B614" s="4">
        <f t="shared" si="0"/>
        <v>16</v>
      </c>
      <c r="C614" s="4">
        <f t="shared" si="1"/>
        <v>4</v>
      </c>
      <c r="D614" s="4">
        <f t="shared" si="2"/>
        <v>20</v>
      </c>
      <c r="E614" s="9">
        <f t="shared" si="3"/>
        <v>0.8</v>
      </c>
    </row>
    <row r="615" spans="1:5">
      <c r="A615" s="3" t="s">
        <v>62</v>
      </c>
      <c r="B615" s="6">
        <f t="shared" si="0"/>
        <v>17</v>
      </c>
      <c r="C615" s="6">
        <f t="shared" si="1"/>
        <v>3</v>
      </c>
      <c r="D615" s="6">
        <f t="shared" si="2"/>
        <v>20</v>
      </c>
      <c r="E615" s="10">
        <f t="shared" si="3"/>
        <v>0.85</v>
      </c>
    </row>
    <row r="616" spans="1:5">
      <c r="A616" s="2" t="s">
        <v>66</v>
      </c>
      <c r="B616" s="4">
        <f t="shared" si="0"/>
        <v>16</v>
      </c>
      <c r="C616" s="4">
        <f t="shared" si="1"/>
        <v>4</v>
      </c>
      <c r="D616" s="4">
        <f t="shared" si="2"/>
        <v>20</v>
      </c>
      <c r="E616" s="9">
        <f t="shared" si="3"/>
        <v>0.8</v>
      </c>
    </row>
    <row r="617" spans="1:5">
      <c r="A617" s="3" t="s">
        <v>70</v>
      </c>
      <c r="B617" s="6">
        <f t="shared" si="0"/>
        <v>18</v>
      </c>
      <c r="C617" s="6">
        <f t="shared" si="1"/>
        <v>2</v>
      </c>
      <c r="D617" s="6">
        <f t="shared" si="2"/>
        <v>20</v>
      </c>
      <c r="E617" s="10">
        <f t="shared" si="3"/>
        <v>0.9</v>
      </c>
    </row>
    <row r="618" spans="1:5">
      <c r="A618" s="2" t="s">
        <v>74</v>
      </c>
      <c r="B618" s="4">
        <f t="shared" si="0"/>
        <v>16</v>
      </c>
      <c r="C618" s="4">
        <f t="shared" si="1"/>
        <v>4</v>
      </c>
      <c r="D618" s="4">
        <f t="shared" si="2"/>
        <v>20</v>
      </c>
      <c r="E618" s="9">
        <f t="shared" si="3"/>
        <v>0.8</v>
      </c>
    </row>
    <row r="619" spans="1:5">
      <c r="A619" s="3" t="s">
        <v>78</v>
      </c>
      <c r="B619" s="6">
        <f t="shared" si="0"/>
        <v>17</v>
      </c>
      <c r="C619" s="6">
        <f t="shared" si="1"/>
        <v>3</v>
      </c>
      <c r="D619" s="6">
        <f t="shared" si="2"/>
        <v>20</v>
      </c>
      <c r="E619" s="10">
        <f t="shared" si="3"/>
        <v>0.85</v>
      </c>
    </row>
    <row r="620" spans="1:5">
      <c r="A620" s="2" t="s">
        <v>82</v>
      </c>
      <c r="B620" s="4">
        <f t="shared" si="0"/>
        <v>16</v>
      </c>
      <c r="C620" s="4">
        <f t="shared" si="1"/>
        <v>4</v>
      </c>
      <c r="D620" s="4">
        <f t="shared" si="2"/>
        <v>20</v>
      </c>
      <c r="E620" s="9">
        <f t="shared" si="3"/>
        <v>0.8</v>
      </c>
    </row>
    <row r="621" spans="1:5">
      <c r="A621" s="3" t="s">
        <v>86</v>
      </c>
      <c r="B621" s="6">
        <f t="shared" si="0"/>
        <v>20</v>
      </c>
      <c r="C621" s="6">
        <f t="shared" si="1"/>
        <v>0</v>
      </c>
      <c r="D621" s="6">
        <f t="shared" si="2"/>
        <v>20</v>
      </c>
      <c r="E621" s="10">
        <f t="shared" si="3"/>
        <v>1</v>
      </c>
    </row>
    <row r="622" spans="1:5">
      <c r="A622" s="2" t="s">
        <v>90</v>
      </c>
      <c r="B622" s="4">
        <f t="shared" si="0"/>
        <v>17</v>
      </c>
      <c r="C622" s="4">
        <f t="shared" si="1"/>
        <v>3</v>
      </c>
      <c r="D622" s="4">
        <f t="shared" si="2"/>
        <v>20</v>
      </c>
      <c r="E622" s="9">
        <f t="shared" si="3"/>
        <v>0.85</v>
      </c>
    </row>
    <row r="623" spans="1:5">
      <c r="A623" s="3" t="s">
        <v>94</v>
      </c>
      <c r="B623" s="6">
        <f t="shared" si="0"/>
        <v>17</v>
      </c>
      <c r="C623" s="6">
        <f t="shared" si="1"/>
        <v>3</v>
      </c>
      <c r="D623" s="6">
        <f t="shared" si="2"/>
        <v>20</v>
      </c>
      <c r="E623" s="10">
        <f t="shared" si="3"/>
        <v>0.85</v>
      </c>
    </row>
    <row r="624" spans="1:5">
      <c r="A624" s="2" t="s">
        <v>98</v>
      </c>
      <c r="B624" s="4">
        <f t="shared" si="0"/>
        <v>16</v>
      </c>
      <c r="C624" s="4">
        <f t="shared" si="1"/>
        <v>4</v>
      </c>
      <c r="D624" s="4">
        <f t="shared" si="2"/>
        <v>20</v>
      </c>
      <c r="E624" s="9">
        <f t="shared" si="3"/>
        <v>0.8</v>
      </c>
    </row>
    <row r="625" spans="1:5">
      <c r="A625" s="3" t="s">
        <v>102</v>
      </c>
      <c r="B625" s="6">
        <f t="shared" si="0"/>
        <v>16</v>
      </c>
      <c r="C625" s="6">
        <f t="shared" si="1"/>
        <v>4</v>
      </c>
      <c r="D625" s="6">
        <f t="shared" si="2"/>
        <v>20</v>
      </c>
      <c r="E625" s="10">
        <f t="shared" si="3"/>
        <v>0.8</v>
      </c>
    </row>
    <row r="626" spans="1:5">
      <c r="A626" s="2" t="s">
        <v>106</v>
      </c>
      <c r="B626" s="4">
        <f t="shared" si="0"/>
        <v>19</v>
      </c>
      <c r="C626" s="4">
        <f t="shared" si="1"/>
        <v>1</v>
      </c>
      <c r="D626" s="4">
        <f t="shared" si="2"/>
        <v>20</v>
      </c>
      <c r="E626" s="9">
        <f t="shared" si="3"/>
        <v>0.95</v>
      </c>
    </row>
    <row r="627" spans="1:5">
      <c r="A627" s="3" t="s">
        <v>110</v>
      </c>
      <c r="B627" s="6">
        <f t="shared" si="0"/>
        <v>16</v>
      </c>
      <c r="C627" s="6">
        <f t="shared" si="1"/>
        <v>4</v>
      </c>
      <c r="D627" s="6">
        <f t="shared" si="2"/>
        <v>20</v>
      </c>
      <c r="E627" s="10">
        <f t="shared" si="3"/>
        <v>0.8</v>
      </c>
    </row>
    <row r="628" spans="1:5">
      <c r="A628" s="2" t="s">
        <v>114</v>
      </c>
      <c r="B628" s="4">
        <f t="shared" si="0"/>
        <v>15</v>
      </c>
      <c r="C628" s="4">
        <f t="shared" si="1"/>
        <v>5</v>
      </c>
      <c r="D628" s="4">
        <f t="shared" si="2"/>
        <v>20</v>
      </c>
      <c r="E628" s="9">
        <f t="shared" si="3"/>
        <v>0.75</v>
      </c>
    </row>
    <row r="629" spans="1:5">
      <c r="A629" s="3" t="s">
        <v>118</v>
      </c>
      <c r="B629" s="6">
        <f t="shared" si="0"/>
        <v>17</v>
      </c>
      <c r="C629" s="6">
        <f t="shared" si="1"/>
        <v>3</v>
      </c>
      <c r="D629" s="6">
        <f t="shared" si="2"/>
        <v>20</v>
      </c>
      <c r="E629" s="10">
        <f t="shared" si="3"/>
        <v>0.85</v>
      </c>
    </row>
    <row r="630" spans="1:5">
      <c r="A630" s="2" t="s">
        <v>122</v>
      </c>
      <c r="B630" s="4">
        <f t="shared" si="0"/>
        <v>16</v>
      </c>
      <c r="C630" s="4">
        <f t="shared" si="1"/>
        <v>4</v>
      </c>
      <c r="D630" s="4">
        <f t="shared" si="2"/>
        <v>20</v>
      </c>
      <c r="E630" s="9">
        <f t="shared" si="3"/>
        <v>0.8</v>
      </c>
    </row>
    <row r="631" spans="1:5">
      <c r="A631" s="3" t="s">
        <v>126</v>
      </c>
      <c r="B631" s="6">
        <f t="shared" si="0"/>
        <v>18</v>
      </c>
      <c r="C631" s="6">
        <f t="shared" si="1"/>
        <v>2</v>
      </c>
      <c r="D631" s="6">
        <f t="shared" si="2"/>
        <v>20</v>
      </c>
      <c r="E631" s="10">
        <f t="shared" si="3"/>
        <v>0.9</v>
      </c>
    </row>
    <row r="632" spans="1:5">
      <c r="A632" s="2" t="s">
        <v>130</v>
      </c>
      <c r="B632" s="4">
        <f t="shared" si="0"/>
        <v>18</v>
      </c>
      <c r="C632" s="4">
        <f t="shared" si="1"/>
        <v>2</v>
      </c>
      <c r="D632" s="4">
        <f t="shared" si="2"/>
        <v>20</v>
      </c>
      <c r="E632" s="9">
        <f t="shared" si="3"/>
        <v>0.9</v>
      </c>
    </row>
    <row r="633" spans="1:5">
      <c r="A633" s="3" t="s">
        <v>134</v>
      </c>
      <c r="B633" s="6">
        <f t="shared" si="0"/>
        <v>13</v>
      </c>
      <c r="C633" s="6">
        <f t="shared" si="1"/>
        <v>7</v>
      </c>
      <c r="D633" s="6">
        <f t="shared" si="2"/>
        <v>20</v>
      </c>
      <c r="E633" s="10">
        <f t="shared" si="3"/>
        <v>0.65</v>
      </c>
    </row>
    <row r="634" spans="1:5">
      <c r="A634" s="2" t="s">
        <v>138</v>
      </c>
      <c r="B634" s="4">
        <f t="shared" si="0"/>
        <v>19</v>
      </c>
      <c r="C634" s="4">
        <f t="shared" si="1"/>
        <v>1</v>
      </c>
      <c r="D634" s="4">
        <f t="shared" si="2"/>
        <v>20</v>
      </c>
      <c r="E634" s="9">
        <f t="shared" si="3"/>
        <v>0.95</v>
      </c>
    </row>
    <row r="635" spans="1:5">
      <c r="A635" s="3" t="s">
        <v>142</v>
      </c>
      <c r="B635" s="6">
        <f t="shared" si="0"/>
        <v>19</v>
      </c>
      <c r="C635" s="6">
        <f t="shared" si="1"/>
        <v>1</v>
      </c>
      <c r="D635" s="6">
        <f t="shared" si="2"/>
        <v>20</v>
      </c>
      <c r="E635" s="10">
        <f t="shared" si="3"/>
        <v>0.95</v>
      </c>
    </row>
    <row r="636" spans="1:5">
      <c r="A636" s="2" t="s">
        <v>146</v>
      </c>
      <c r="B636" s="4">
        <f t="shared" si="0"/>
        <v>19</v>
      </c>
      <c r="C636" s="4">
        <f t="shared" si="1"/>
        <v>1</v>
      </c>
      <c r="D636" s="4">
        <f t="shared" si="2"/>
        <v>20</v>
      </c>
      <c r="E636" s="9">
        <f t="shared" si="3"/>
        <v>0.95</v>
      </c>
    </row>
    <row r="637" spans="1:5">
      <c r="A637" s="3" t="s">
        <v>150</v>
      </c>
      <c r="B637" s="6">
        <f t="shared" si="0"/>
        <v>20</v>
      </c>
      <c r="C637" s="6">
        <f t="shared" si="1"/>
        <v>0</v>
      </c>
      <c r="D637" s="6">
        <f t="shared" si="2"/>
        <v>20</v>
      </c>
      <c r="E637" s="10">
        <f t="shared" si="3"/>
        <v>1</v>
      </c>
    </row>
  </sheetData>
  <autoFilter ref="A3:E3" xr:uid="{00000000-0009-0000-0000-000001000000}"/>
  <mergeCells count="3">
    <mergeCell ref="A1:G1"/>
    <mergeCell ref="A2:G2"/>
    <mergeCell ref="A606:G60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3"/>
  <sheetViews>
    <sheetView zoomScaleNormal="100" workbookViewId="0">
      <pane ySplit="3" topLeftCell="A4" activePane="bottomLeft" state="frozen"/>
      <selection pane="bottomLeft" sqref="A1:J1"/>
    </sheetView>
  </sheetViews>
  <sheetFormatPr defaultColWidth="8.6640625" defaultRowHeight="14.4"/>
  <cols>
    <col min="1" max="1" width="14" customWidth="1"/>
    <col min="2" max="2" width="22" customWidth="1"/>
    <col min="3" max="3" width="13" customWidth="1"/>
    <col min="4" max="5" width="11" customWidth="1"/>
    <col min="6" max="6" width="13" customWidth="1"/>
    <col min="7" max="7" width="11" customWidth="1"/>
    <col min="8" max="8" width="12" customWidth="1"/>
    <col min="9" max="10" width="13" customWidth="1"/>
  </cols>
  <sheetData>
    <row r="1" spans="1:10" ht="45" customHeight="1">
      <c r="A1" s="45" t="s">
        <v>185</v>
      </c>
      <c r="B1" s="45"/>
      <c r="C1" s="45"/>
      <c r="D1" s="45"/>
      <c r="E1" s="45"/>
      <c r="F1" s="45"/>
      <c r="G1" s="45"/>
      <c r="H1" s="45"/>
      <c r="I1" s="45"/>
      <c r="J1" s="45"/>
    </row>
    <row r="2" spans="1:10" ht="21.75" customHeight="1">
      <c r="A2" s="46" t="s">
        <v>186</v>
      </c>
      <c r="B2" s="46"/>
      <c r="C2" s="46"/>
      <c r="D2" s="46"/>
      <c r="E2" s="46"/>
      <c r="F2" s="46"/>
      <c r="G2" s="46"/>
      <c r="H2" s="46"/>
      <c r="I2" s="46"/>
      <c r="J2" s="46"/>
    </row>
    <row r="3" spans="1:10" ht="36" customHeight="1">
      <c r="A3" s="1" t="s">
        <v>155</v>
      </c>
      <c r="B3" s="1" t="s">
        <v>3</v>
      </c>
      <c r="C3" s="1" t="s">
        <v>187</v>
      </c>
      <c r="D3" s="1" t="s">
        <v>188</v>
      </c>
      <c r="E3" s="1" t="s">
        <v>189</v>
      </c>
      <c r="F3" s="1" t="s">
        <v>190</v>
      </c>
      <c r="G3" s="1" t="s">
        <v>191</v>
      </c>
      <c r="H3" s="1" t="s">
        <v>192</v>
      </c>
      <c r="I3" s="1" t="s">
        <v>193</v>
      </c>
      <c r="J3" s="1" t="s">
        <v>156</v>
      </c>
    </row>
    <row r="4" spans="1:10">
      <c r="A4" s="4" t="s">
        <v>160</v>
      </c>
      <c r="B4" s="4" t="s">
        <v>23</v>
      </c>
      <c r="C4" s="4" t="s">
        <v>29</v>
      </c>
      <c r="D4" s="4" t="s">
        <v>194</v>
      </c>
      <c r="E4" s="4" t="s">
        <v>194</v>
      </c>
      <c r="F4" s="4" t="s">
        <v>194</v>
      </c>
      <c r="G4" s="4" t="s">
        <v>29</v>
      </c>
      <c r="H4" s="4" t="s">
        <v>29</v>
      </c>
      <c r="I4" s="4" t="s">
        <v>29</v>
      </c>
      <c r="J4" s="7" t="s">
        <v>29</v>
      </c>
    </row>
    <row r="5" spans="1:10">
      <c r="A5" s="6" t="s">
        <v>160</v>
      </c>
      <c r="B5" s="6" t="s">
        <v>32</v>
      </c>
      <c r="C5" s="6" t="s">
        <v>195</v>
      </c>
      <c r="D5" s="6" t="s">
        <v>194</v>
      </c>
      <c r="E5" s="6" t="s">
        <v>194</v>
      </c>
      <c r="F5" s="6" t="s">
        <v>195</v>
      </c>
      <c r="G5" s="6" t="s">
        <v>195</v>
      </c>
      <c r="H5" s="6" t="s">
        <v>195</v>
      </c>
      <c r="I5" s="6" t="s">
        <v>29</v>
      </c>
      <c r="J5" s="7" t="s">
        <v>29</v>
      </c>
    </row>
    <row r="6" spans="1:10">
      <c r="A6" s="4" t="s">
        <v>160</v>
      </c>
      <c r="B6" s="4" t="s">
        <v>38</v>
      </c>
      <c r="C6" s="4" t="s">
        <v>195</v>
      </c>
      <c r="D6" s="4" t="s">
        <v>29</v>
      </c>
      <c r="E6" s="4" t="s">
        <v>194</v>
      </c>
      <c r="F6" s="4" t="s">
        <v>195</v>
      </c>
      <c r="G6" s="4" t="s">
        <v>29</v>
      </c>
      <c r="H6" s="4" t="s">
        <v>194</v>
      </c>
      <c r="I6" s="4" t="s">
        <v>195</v>
      </c>
      <c r="J6" s="7" t="s">
        <v>29</v>
      </c>
    </row>
    <row r="7" spans="1:10">
      <c r="A7" s="6" t="s">
        <v>160</v>
      </c>
      <c r="B7" s="6" t="s">
        <v>44</v>
      </c>
      <c r="C7" s="6" t="s">
        <v>194</v>
      </c>
      <c r="D7" s="6" t="s">
        <v>194</v>
      </c>
      <c r="E7" s="6" t="s">
        <v>29</v>
      </c>
      <c r="F7" s="6" t="s">
        <v>194</v>
      </c>
      <c r="G7" s="6" t="s">
        <v>194</v>
      </c>
      <c r="H7" s="6" t="s">
        <v>194</v>
      </c>
      <c r="I7" s="6" t="s">
        <v>195</v>
      </c>
      <c r="J7" s="11" t="s">
        <v>195</v>
      </c>
    </row>
    <row r="8" spans="1:10">
      <c r="A8" s="4" t="s">
        <v>160</v>
      </c>
      <c r="B8" s="4" t="s">
        <v>49</v>
      </c>
      <c r="C8" s="4" t="s">
        <v>195</v>
      </c>
      <c r="D8" s="4" t="s">
        <v>194</v>
      </c>
      <c r="E8" s="4" t="s">
        <v>195</v>
      </c>
      <c r="F8" s="4" t="s">
        <v>195</v>
      </c>
      <c r="G8" s="4" t="s">
        <v>29</v>
      </c>
      <c r="H8" s="4" t="s">
        <v>194</v>
      </c>
      <c r="I8" s="4" t="s">
        <v>194</v>
      </c>
      <c r="J8" s="7" t="s">
        <v>29</v>
      </c>
    </row>
    <row r="9" spans="1:10">
      <c r="A9" s="6" t="s">
        <v>160</v>
      </c>
      <c r="B9" s="6" t="s">
        <v>54</v>
      </c>
      <c r="C9" s="6" t="s">
        <v>29</v>
      </c>
      <c r="D9" s="6" t="s">
        <v>194</v>
      </c>
      <c r="E9" s="6" t="s">
        <v>29</v>
      </c>
      <c r="F9" s="6" t="s">
        <v>195</v>
      </c>
      <c r="G9" s="6" t="s">
        <v>194</v>
      </c>
      <c r="H9" s="6" t="s">
        <v>194</v>
      </c>
      <c r="I9" s="6" t="s">
        <v>195</v>
      </c>
      <c r="J9" s="7" t="s">
        <v>29</v>
      </c>
    </row>
    <row r="10" spans="1:10">
      <c r="A10" s="4" t="s">
        <v>160</v>
      </c>
      <c r="B10" s="4" t="s">
        <v>58</v>
      </c>
      <c r="C10" s="4" t="s">
        <v>29</v>
      </c>
      <c r="D10" s="4" t="s">
        <v>194</v>
      </c>
      <c r="E10" s="4" t="s">
        <v>29</v>
      </c>
      <c r="F10" s="4" t="s">
        <v>194</v>
      </c>
      <c r="G10" s="4" t="s">
        <v>29</v>
      </c>
      <c r="H10" s="4" t="s">
        <v>194</v>
      </c>
      <c r="I10" s="4" t="s">
        <v>29</v>
      </c>
      <c r="J10" s="7" t="s">
        <v>29</v>
      </c>
    </row>
    <row r="11" spans="1:10">
      <c r="A11" s="6" t="s">
        <v>160</v>
      </c>
      <c r="B11" s="6" t="s">
        <v>62</v>
      </c>
      <c r="C11" s="6" t="s">
        <v>29</v>
      </c>
      <c r="D11" s="6" t="s">
        <v>194</v>
      </c>
      <c r="E11" s="6" t="s">
        <v>194</v>
      </c>
      <c r="F11" s="6" t="s">
        <v>195</v>
      </c>
      <c r="G11" s="6" t="s">
        <v>194</v>
      </c>
      <c r="H11" s="6" t="s">
        <v>29</v>
      </c>
      <c r="I11" s="6" t="s">
        <v>194</v>
      </c>
      <c r="J11" s="11" t="s">
        <v>195</v>
      </c>
    </row>
    <row r="12" spans="1:10">
      <c r="A12" s="4" t="s">
        <v>160</v>
      </c>
      <c r="B12" s="4" t="s">
        <v>66</v>
      </c>
      <c r="C12" s="4" t="s">
        <v>29</v>
      </c>
      <c r="D12" s="4" t="s">
        <v>195</v>
      </c>
      <c r="E12" s="4" t="s">
        <v>29</v>
      </c>
      <c r="F12" s="4" t="s">
        <v>195</v>
      </c>
      <c r="G12" s="4" t="s">
        <v>194</v>
      </c>
      <c r="H12" s="4" t="s">
        <v>29</v>
      </c>
      <c r="I12" s="4" t="s">
        <v>29</v>
      </c>
      <c r="J12" s="7" t="s">
        <v>29</v>
      </c>
    </row>
    <row r="13" spans="1:10">
      <c r="A13" s="6" t="s">
        <v>160</v>
      </c>
      <c r="B13" s="6" t="s">
        <v>70</v>
      </c>
      <c r="C13" s="6" t="s">
        <v>29</v>
      </c>
      <c r="D13" s="6" t="s">
        <v>195</v>
      </c>
      <c r="E13" s="6" t="s">
        <v>195</v>
      </c>
      <c r="F13" s="6" t="s">
        <v>195</v>
      </c>
      <c r="G13" s="6" t="s">
        <v>195</v>
      </c>
      <c r="H13" s="6" t="s">
        <v>29</v>
      </c>
      <c r="I13" s="6" t="s">
        <v>194</v>
      </c>
      <c r="J13" s="7" t="s">
        <v>29</v>
      </c>
    </row>
    <row r="14" spans="1:10">
      <c r="A14" s="4" t="s">
        <v>162</v>
      </c>
      <c r="B14" s="4" t="s">
        <v>23</v>
      </c>
      <c r="C14" s="4" t="s">
        <v>195</v>
      </c>
      <c r="D14" s="4" t="s">
        <v>195</v>
      </c>
      <c r="E14" s="4" t="s">
        <v>195</v>
      </c>
      <c r="F14" s="4" t="s">
        <v>195</v>
      </c>
      <c r="G14" s="4" t="s">
        <v>194</v>
      </c>
      <c r="H14" s="4" t="s">
        <v>194</v>
      </c>
      <c r="I14" s="4" t="s">
        <v>195</v>
      </c>
      <c r="J14" s="7" t="s">
        <v>29</v>
      </c>
    </row>
    <row r="15" spans="1:10">
      <c r="A15" s="6" t="s">
        <v>162</v>
      </c>
      <c r="B15" s="6" t="s">
        <v>32</v>
      </c>
      <c r="C15" s="6" t="s">
        <v>29</v>
      </c>
      <c r="D15" s="6" t="s">
        <v>195</v>
      </c>
      <c r="E15" s="6" t="s">
        <v>29</v>
      </c>
      <c r="F15" s="6" t="s">
        <v>195</v>
      </c>
      <c r="G15" s="6" t="s">
        <v>195</v>
      </c>
      <c r="H15" s="6" t="s">
        <v>29</v>
      </c>
      <c r="I15" s="6" t="s">
        <v>195</v>
      </c>
      <c r="J15" s="7" t="s">
        <v>29</v>
      </c>
    </row>
    <row r="16" spans="1:10">
      <c r="A16" s="4" t="s">
        <v>162</v>
      </c>
      <c r="B16" s="4" t="s">
        <v>38</v>
      </c>
      <c r="C16" s="4" t="s">
        <v>194</v>
      </c>
      <c r="D16" s="4" t="s">
        <v>195</v>
      </c>
      <c r="E16" s="4" t="s">
        <v>29</v>
      </c>
      <c r="F16" s="4" t="s">
        <v>194</v>
      </c>
      <c r="G16" s="4" t="s">
        <v>29</v>
      </c>
      <c r="H16" s="4" t="s">
        <v>195</v>
      </c>
      <c r="I16" s="4" t="s">
        <v>194</v>
      </c>
      <c r="J16" s="7" t="s">
        <v>29</v>
      </c>
    </row>
    <row r="17" spans="1:10">
      <c r="A17" s="6" t="s">
        <v>162</v>
      </c>
      <c r="B17" s="6" t="s">
        <v>44</v>
      </c>
      <c r="C17" s="6" t="s">
        <v>194</v>
      </c>
      <c r="D17" s="6" t="s">
        <v>195</v>
      </c>
      <c r="E17" s="6" t="s">
        <v>29</v>
      </c>
      <c r="F17" s="6" t="s">
        <v>195</v>
      </c>
      <c r="G17" s="6" t="s">
        <v>29</v>
      </c>
      <c r="H17" s="6" t="s">
        <v>195</v>
      </c>
      <c r="I17" s="6" t="s">
        <v>195</v>
      </c>
      <c r="J17" s="7" t="s">
        <v>29</v>
      </c>
    </row>
    <row r="18" spans="1:10">
      <c r="A18" s="4" t="s">
        <v>162</v>
      </c>
      <c r="B18" s="4" t="s">
        <v>49</v>
      </c>
      <c r="C18" s="4" t="s">
        <v>195</v>
      </c>
      <c r="D18" s="4" t="s">
        <v>194</v>
      </c>
      <c r="E18" s="4" t="s">
        <v>29</v>
      </c>
      <c r="F18" s="4" t="s">
        <v>194</v>
      </c>
      <c r="G18" s="4" t="s">
        <v>194</v>
      </c>
      <c r="H18" s="4" t="s">
        <v>29</v>
      </c>
      <c r="I18" s="4" t="s">
        <v>195</v>
      </c>
      <c r="J18" s="7" t="s">
        <v>29</v>
      </c>
    </row>
    <row r="19" spans="1:10">
      <c r="A19" s="6" t="s">
        <v>162</v>
      </c>
      <c r="B19" s="6" t="s">
        <v>54</v>
      </c>
      <c r="C19" s="6" t="s">
        <v>194</v>
      </c>
      <c r="D19" s="6" t="s">
        <v>194</v>
      </c>
      <c r="E19" s="6" t="s">
        <v>195</v>
      </c>
      <c r="F19" s="6" t="s">
        <v>194</v>
      </c>
      <c r="G19" s="6" t="s">
        <v>29</v>
      </c>
      <c r="H19" s="6" t="s">
        <v>194</v>
      </c>
      <c r="I19" s="6" t="s">
        <v>29</v>
      </c>
      <c r="J19" s="11" t="s">
        <v>195</v>
      </c>
    </row>
    <row r="20" spans="1:10">
      <c r="A20" s="4" t="s">
        <v>162</v>
      </c>
      <c r="B20" s="4" t="s">
        <v>58</v>
      </c>
      <c r="C20" s="4" t="s">
        <v>29</v>
      </c>
      <c r="D20" s="4" t="s">
        <v>29</v>
      </c>
      <c r="E20" s="4" t="s">
        <v>29</v>
      </c>
      <c r="F20" s="4" t="s">
        <v>29</v>
      </c>
      <c r="G20" s="4" t="s">
        <v>29</v>
      </c>
      <c r="H20" s="4" t="s">
        <v>194</v>
      </c>
      <c r="I20" s="4" t="s">
        <v>29</v>
      </c>
      <c r="J20" s="7" t="s">
        <v>29</v>
      </c>
    </row>
    <row r="21" spans="1:10">
      <c r="A21" s="6" t="s">
        <v>162</v>
      </c>
      <c r="B21" s="6" t="s">
        <v>62</v>
      </c>
      <c r="C21" s="6" t="s">
        <v>195</v>
      </c>
      <c r="D21" s="6" t="s">
        <v>194</v>
      </c>
      <c r="E21" s="6" t="s">
        <v>29</v>
      </c>
      <c r="F21" s="6" t="s">
        <v>195</v>
      </c>
      <c r="G21" s="6" t="s">
        <v>29</v>
      </c>
      <c r="H21" s="6" t="s">
        <v>29</v>
      </c>
      <c r="I21" s="6" t="s">
        <v>29</v>
      </c>
      <c r="J21" s="7" t="s">
        <v>29</v>
      </c>
    </row>
    <row r="22" spans="1:10">
      <c r="A22" s="4" t="s">
        <v>162</v>
      </c>
      <c r="B22" s="4" t="s">
        <v>66</v>
      </c>
      <c r="C22" s="4" t="s">
        <v>195</v>
      </c>
      <c r="D22" s="4" t="s">
        <v>195</v>
      </c>
      <c r="E22" s="4" t="s">
        <v>194</v>
      </c>
      <c r="F22" s="4" t="s">
        <v>195</v>
      </c>
      <c r="G22" s="4" t="s">
        <v>195</v>
      </c>
      <c r="H22" s="4" t="s">
        <v>195</v>
      </c>
      <c r="I22" s="4" t="s">
        <v>29</v>
      </c>
      <c r="J22" s="7" t="s">
        <v>29</v>
      </c>
    </row>
    <row r="23" spans="1:10">
      <c r="A23" s="6" t="s">
        <v>162</v>
      </c>
      <c r="B23" s="6" t="s">
        <v>70</v>
      </c>
      <c r="C23" s="6" t="s">
        <v>194</v>
      </c>
      <c r="D23" s="6" t="s">
        <v>29</v>
      </c>
      <c r="E23" s="6" t="s">
        <v>195</v>
      </c>
      <c r="F23" s="6" t="s">
        <v>194</v>
      </c>
      <c r="G23" s="6" t="s">
        <v>195</v>
      </c>
      <c r="H23" s="6" t="s">
        <v>195</v>
      </c>
      <c r="I23" s="6" t="s">
        <v>195</v>
      </c>
      <c r="J23" s="7" t="s">
        <v>29</v>
      </c>
    </row>
    <row r="24" spans="1:10">
      <c r="A24" s="4" t="s">
        <v>163</v>
      </c>
      <c r="B24" s="4" t="s">
        <v>23</v>
      </c>
      <c r="C24" s="4" t="s">
        <v>194</v>
      </c>
      <c r="D24" s="4" t="s">
        <v>195</v>
      </c>
      <c r="E24" s="4" t="s">
        <v>195</v>
      </c>
      <c r="F24" s="4" t="s">
        <v>194</v>
      </c>
      <c r="G24" s="4" t="s">
        <v>195</v>
      </c>
      <c r="H24" s="4" t="s">
        <v>195</v>
      </c>
      <c r="I24" s="4" t="s">
        <v>194</v>
      </c>
      <c r="J24" s="7" t="s">
        <v>29</v>
      </c>
    </row>
    <row r="25" spans="1:10">
      <c r="A25" s="6" t="s">
        <v>163</v>
      </c>
      <c r="B25" s="6" t="s">
        <v>32</v>
      </c>
      <c r="C25" s="6" t="s">
        <v>29</v>
      </c>
      <c r="D25" s="6" t="s">
        <v>194</v>
      </c>
      <c r="E25" s="6" t="s">
        <v>195</v>
      </c>
      <c r="F25" s="6" t="s">
        <v>29</v>
      </c>
      <c r="G25" s="6" t="s">
        <v>194</v>
      </c>
      <c r="H25" s="6" t="s">
        <v>195</v>
      </c>
      <c r="I25" s="6" t="s">
        <v>195</v>
      </c>
      <c r="J25" s="7" t="s">
        <v>29</v>
      </c>
    </row>
    <row r="26" spans="1:10">
      <c r="A26" s="4" t="s">
        <v>163</v>
      </c>
      <c r="B26" s="4" t="s">
        <v>38</v>
      </c>
      <c r="C26" s="4" t="s">
        <v>195</v>
      </c>
      <c r="D26" s="4" t="s">
        <v>195</v>
      </c>
      <c r="E26" s="4" t="s">
        <v>195</v>
      </c>
      <c r="F26" s="4" t="s">
        <v>29</v>
      </c>
      <c r="G26" s="4" t="s">
        <v>29</v>
      </c>
      <c r="H26" s="4" t="s">
        <v>194</v>
      </c>
      <c r="I26" s="4" t="s">
        <v>194</v>
      </c>
      <c r="J26" s="7" t="s">
        <v>29</v>
      </c>
    </row>
    <row r="27" spans="1:10">
      <c r="A27" s="6" t="s">
        <v>163</v>
      </c>
      <c r="B27" s="6" t="s">
        <v>44</v>
      </c>
      <c r="C27" s="6" t="s">
        <v>29</v>
      </c>
      <c r="D27" s="6" t="s">
        <v>194</v>
      </c>
      <c r="E27" s="6" t="s">
        <v>195</v>
      </c>
      <c r="F27" s="6" t="s">
        <v>194</v>
      </c>
      <c r="G27" s="6" t="s">
        <v>29</v>
      </c>
      <c r="H27" s="6" t="s">
        <v>195</v>
      </c>
      <c r="I27" s="6" t="s">
        <v>194</v>
      </c>
      <c r="J27" s="7" t="s">
        <v>29</v>
      </c>
    </row>
    <row r="28" spans="1:10">
      <c r="A28" s="4" t="s">
        <v>163</v>
      </c>
      <c r="B28" s="4" t="s">
        <v>49</v>
      </c>
      <c r="C28" s="4" t="s">
        <v>195</v>
      </c>
      <c r="D28" s="4" t="s">
        <v>29</v>
      </c>
      <c r="E28" s="4" t="s">
        <v>194</v>
      </c>
      <c r="F28" s="4" t="s">
        <v>194</v>
      </c>
      <c r="G28" s="4" t="s">
        <v>29</v>
      </c>
      <c r="H28" s="4" t="s">
        <v>194</v>
      </c>
      <c r="I28" s="4" t="s">
        <v>194</v>
      </c>
      <c r="J28" s="11" t="s">
        <v>195</v>
      </c>
    </row>
    <row r="29" spans="1:10">
      <c r="A29" s="6" t="s">
        <v>163</v>
      </c>
      <c r="B29" s="6" t="s">
        <v>54</v>
      </c>
      <c r="C29" s="6" t="s">
        <v>194</v>
      </c>
      <c r="D29" s="6" t="s">
        <v>195</v>
      </c>
      <c r="E29" s="6" t="s">
        <v>194</v>
      </c>
      <c r="F29" s="6" t="s">
        <v>29</v>
      </c>
      <c r="G29" s="6" t="s">
        <v>194</v>
      </c>
      <c r="H29" s="6" t="s">
        <v>194</v>
      </c>
      <c r="I29" s="6" t="s">
        <v>194</v>
      </c>
      <c r="J29" s="11" t="s">
        <v>195</v>
      </c>
    </row>
    <row r="30" spans="1:10">
      <c r="A30" s="4" t="s">
        <v>163</v>
      </c>
      <c r="B30" s="4" t="s">
        <v>58</v>
      </c>
      <c r="C30" s="4" t="s">
        <v>29</v>
      </c>
      <c r="D30" s="4" t="s">
        <v>195</v>
      </c>
      <c r="E30" s="4" t="s">
        <v>194</v>
      </c>
      <c r="F30" s="4" t="s">
        <v>29</v>
      </c>
      <c r="G30" s="4" t="s">
        <v>29</v>
      </c>
      <c r="H30" s="4" t="s">
        <v>29</v>
      </c>
      <c r="I30" s="4" t="s">
        <v>29</v>
      </c>
      <c r="J30" s="7" t="s">
        <v>29</v>
      </c>
    </row>
    <row r="31" spans="1:10">
      <c r="A31" s="6" t="s">
        <v>163</v>
      </c>
      <c r="B31" s="6" t="s">
        <v>62</v>
      </c>
      <c r="C31" s="6" t="s">
        <v>194</v>
      </c>
      <c r="D31" s="6" t="s">
        <v>29</v>
      </c>
      <c r="E31" s="6" t="s">
        <v>29</v>
      </c>
      <c r="F31" s="6" t="s">
        <v>195</v>
      </c>
      <c r="G31" s="6" t="s">
        <v>195</v>
      </c>
      <c r="H31" s="6" t="s">
        <v>29</v>
      </c>
      <c r="I31" s="6" t="s">
        <v>194</v>
      </c>
      <c r="J31" s="7" t="s">
        <v>29</v>
      </c>
    </row>
    <row r="32" spans="1:10">
      <c r="A32" s="4" t="s">
        <v>163</v>
      </c>
      <c r="B32" s="4" t="s">
        <v>66</v>
      </c>
      <c r="C32" s="4" t="s">
        <v>194</v>
      </c>
      <c r="D32" s="4" t="s">
        <v>194</v>
      </c>
      <c r="E32" s="4" t="s">
        <v>195</v>
      </c>
      <c r="F32" s="4" t="s">
        <v>194</v>
      </c>
      <c r="G32" s="4" t="s">
        <v>195</v>
      </c>
      <c r="H32" s="4" t="s">
        <v>195</v>
      </c>
      <c r="I32" s="4" t="s">
        <v>195</v>
      </c>
      <c r="J32" s="7" t="s">
        <v>29</v>
      </c>
    </row>
    <row r="33" spans="1:10">
      <c r="A33" s="6" t="s">
        <v>163</v>
      </c>
      <c r="B33" s="6" t="s">
        <v>70</v>
      </c>
      <c r="C33" s="6" t="s">
        <v>195</v>
      </c>
      <c r="D33" s="6" t="s">
        <v>194</v>
      </c>
      <c r="E33" s="6" t="s">
        <v>29</v>
      </c>
      <c r="F33" s="6" t="s">
        <v>194</v>
      </c>
      <c r="G33" s="6" t="s">
        <v>195</v>
      </c>
      <c r="H33" s="6" t="s">
        <v>195</v>
      </c>
      <c r="I33" s="6" t="s">
        <v>194</v>
      </c>
      <c r="J33" s="7" t="s">
        <v>29</v>
      </c>
    </row>
    <row r="34" spans="1:10">
      <c r="A34" s="4" t="s">
        <v>164</v>
      </c>
      <c r="B34" s="4" t="s">
        <v>23</v>
      </c>
      <c r="C34" s="4" t="s">
        <v>194</v>
      </c>
      <c r="D34" s="4" t="s">
        <v>195</v>
      </c>
      <c r="E34" s="4" t="s">
        <v>194</v>
      </c>
      <c r="F34" s="4" t="s">
        <v>29</v>
      </c>
      <c r="G34" s="4" t="s">
        <v>194</v>
      </c>
      <c r="H34" s="4" t="s">
        <v>29</v>
      </c>
      <c r="I34" s="4" t="s">
        <v>194</v>
      </c>
      <c r="J34" s="11" t="s">
        <v>195</v>
      </c>
    </row>
    <row r="35" spans="1:10">
      <c r="A35" s="6" t="s">
        <v>164</v>
      </c>
      <c r="B35" s="6" t="s">
        <v>32</v>
      </c>
      <c r="C35" s="6" t="s">
        <v>195</v>
      </c>
      <c r="D35" s="6" t="s">
        <v>29</v>
      </c>
      <c r="E35" s="6" t="s">
        <v>194</v>
      </c>
      <c r="F35" s="6" t="s">
        <v>195</v>
      </c>
      <c r="G35" s="6" t="s">
        <v>195</v>
      </c>
      <c r="H35" s="6" t="s">
        <v>195</v>
      </c>
      <c r="I35" s="6" t="s">
        <v>195</v>
      </c>
      <c r="J35" s="7" t="s">
        <v>29</v>
      </c>
    </row>
    <row r="36" spans="1:10">
      <c r="A36" s="4" t="s">
        <v>164</v>
      </c>
      <c r="B36" s="4" t="s">
        <v>38</v>
      </c>
      <c r="C36" s="4" t="s">
        <v>194</v>
      </c>
      <c r="D36" s="4" t="s">
        <v>29</v>
      </c>
      <c r="E36" s="4" t="s">
        <v>194</v>
      </c>
      <c r="F36" s="4" t="s">
        <v>195</v>
      </c>
      <c r="G36" s="4" t="s">
        <v>195</v>
      </c>
      <c r="H36" s="4" t="s">
        <v>194</v>
      </c>
      <c r="I36" s="4" t="s">
        <v>195</v>
      </c>
      <c r="J36" s="7" t="s">
        <v>29</v>
      </c>
    </row>
    <row r="37" spans="1:10">
      <c r="A37" s="6" t="s">
        <v>164</v>
      </c>
      <c r="B37" s="6" t="s">
        <v>44</v>
      </c>
      <c r="C37" s="6" t="s">
        <v>195</v>
      </c>
      <c r="D37" s="6" t="s">
        <v>195</v>
      </c>
      <c r="E37" s="6" t="s">
        <v>194</v>
      </c>
      <c r="F37" s="6" t="s">
        <v>194</v>
      </c>
      <c r="G37" s="6" t="s">
        <v>194</v>
      </c>
      <c r="H37" s="6" t="s">
        <v>195</v>
      </c>
      <c r="I37" s="6" t="s">
        <v>195</v>
      </c>
      <c r="J37" s="7" t="s">
        <v>29</v>
      </c>
    </row>
    <row r="38" spans="1:10">
      <c r="A38" s="4" t="s">
        <v>164</v>
      </c>
      <c r="B38" s="4" t="s">
        <v>49</v>
      </c>
      <c r="C38" s="4" t="s">
        <v>194</v>
      </c>
      <c r="D38" s="4" t="s">
        <v>194</v>
      </c>
      <c r="E38" s="4" t="s">
        <v>29</v>
      </c>
      <c r="F38" s="4" t="s">
        <v>29</v>
      </c>
      <c r="G38" s="4" t="s">
        <v>29</v>
      </c>
      <c r="H38" s="4" t="s">
        <v>29</v>
      </c>
      <c r="I38" s="4" t="s">
        <v>195</v>
      </c>
      <c r="J38" s="7" t="s">
        <v>29</v>
      </c>
    </row>
    <row r="39" spans="1:10">
      <c r="A39" s="6" t="s">
        <v>164</v>
      </c>
      <c r="B39" s="6" t="s">
        <v>54</v>
      </c>
      <c r="C39" s="6" t="s">
        <v>195</v>
      </c>
      <c r="D39" s="6" t="s">
        <v>195</v>
      </c>
      <c r="E39" s="6" t="s">
        <v>195</v>
      </c>
      <c r="F39" s="6" t="s">
        <v>195</v>
      </c>
      <c r="G39" s="6" t="s">
        <v>195</v>
      </c>
      <c r="H39" s="6" t="s">
        <v>195</v>
      </c>
      <c r="I39" s="6" t="s">
        <v>194</v>
      </c>
      <c r="J39" s="7" t="s">
        <v>29</v>
      </c>
    </row>
    <row r="40" spans="1:10">
      <c r="A40" s="4" t="s">
        <v>164</v>
      </c>
      <c r="B40" s="4" t="s">
        <v>58</v>
      </c>
      <c r="C40" s="4" t="s">
        <v>194</v>
      </c>
      <c r="D40" s="4" t="s">
        <v>194</v>
      </c>
      <c r="E40" s="4" t="s">
        <v>194</v>
      </c>
      <c r="F40" s="4" t="s">
        <v>29</v>
      </c>
      <c r="G40" s="4" t="s">
        <v>195</v>
      </c>
      <c r="H40" s="4" t="s">
        <v>194</v>
      </c>
      <c r="I40" s="4" t="s">
        <v>29</v>
      </c>
      <c r="J40" s="11" t="s">
        <v>195</v>
      </c>
    </row>
    <row r="41" spans="1:10">
      <c r="A41" s="6" t="s">
        <v>164</v>
      </c>
      <c r="B41" s="6" t="s">
        <v>62</v>
      </c>
      <c r="C41" s="6" t="s">
        <v>194</v>
      </c>
      <c r="D41" s="6" t="s">
        <v>29</v>
      </c>
      <c r="E41" s="6" t="s">
        <v>29</v>
      </c>
      <c r="F41" s="6" t="s">
        <v>195</v>
      </c>
      <c r="G41" s="6" t="s">
        <v>29</v>
      </c>
      <c r="H41" s="6" t="s">
        <v>194</v>
      </c>
      <c r="I41" s="6" t="s">
        <v>194</v>
      </c>
      <c r="J41" s="7" t="s">
        <v>29</v>
      </c>
    </row>
    <row r="42" spans="1:10">
      <c r="A42" s="4" t="s">
        <v>164</v>
      </c>
      <c r="B42" s="4" t="s">
        <v>66</v>
      </c>
      <c r="C42" s="4" t="s">
        <v>29</v>
      </c>
      <c r="D42" s="4" t="s">
        <v>195</v>
      </c>
      <c r="E42" s="4" t="s">
        <v>195</v>
      </c>
      <c r="F42" s="4" t="s">
        <v>29</v>
      </c>
      <c r="G42" s="4" t="s">
        <v>29</v>
      </c>
      <c r="H42" s="4" t="s">
        <v>195</v>
      </c>
      <c r="I42" s="4" t="s">
        <v>194</v>
      </c>
      <c r="J42" s="7" t="s">
        <v>29</v>
      </c>
    </row>
    <row r="43" spans="1:10">
      <c r="A43" s="6" t="s">
        <v>164</v>
      </c>
      <c r="B43" s="6" t="s">
        <v>70</v>
      </c>
      <c r="C43" s="6" t="s">
        <v>194</v>
      </c>
      <c r="D43" s="6" t="s">
        <v>194</v>
      </c>
      <c r="E43" s="6" t="s">
        <v>194</v>
      </c>
      <c r="F43" s="6" t="s">
        <v>195</v>
      </c>
      <c r="G43" s="6" t="s">
        <v>194</v>
      </c>
      <c r="H43" s="6" t="s">
        <v>195</v>
      </c>
      <c r="I43" s="6" t="s">
        <v>29</v>
      </c>
      <c r="J43" s="11" t="s">
        <v>195</v>
      </c>
    </row>
    <row r="44" spans="1:10">
      <c r="A44" s="4" t="s">
        <v>166</v>
      </c>
      <c r="B44" s="4" t="s">
        <v>23</v>
      </c>
      <c r="C44" s="4" t="s">
        <v>29</v>
      </c>
      <c r="D44" s="4" t="s">
        <v>194</v>
      </c>
      <c r="E44" s="4" t="s">
        <v>195</v>
      </c>
      <c r="F44" s="4" t="s">
        <v>195</v>
      </c>
      <c r="G44" s="4" t="s">
        <v>194</v>
      </c>
      <c r="H44" s="4" t="s">
        <v>29</v>
      </c>
      <c r="I44" s="4" t="s">
        <v>29</v>
      </c>
      <c r="J44" s="7" t="s">
        <v>29</v>
      </c>
    </row>
    <row r="45" spans="1:10">
      <c r="A45" s="6" t="s">
        <v>166</v>
      </c>
      <c r="B45" s="6" t="s">
        <v>32</v>
      </c>
      <c r="C45" s="6" t="s">
        <v>194</v>
      </c>
      <c r="D45" s="6" t="s">
        <v>29</v>
      </c>
      <c r="E45" s="6" t="s">
        <v>29</v>
      </c>
      <c r="F45" s="6" t="s">
        <v>195</v>
      </c>
      <c r="G45" s="6" t="s">
        <v>195</v>
      </c>
      <c r="H45" s="6" t="s">
        <v>194</v>
      </c>
      <c r="I45" s="6" t="s">
        <v>29</v>
      </c>
      <c r="J45" s="7" t="s">
        <v>29</v>
      </c>
    </row>
    <row r="46" spans="1:10">
      <c r="A46" s="4" t="s">
        <v>166</v>
      </c>
      <c r="B46" s="4" t="s">
        <v>38</v>
      </c>
      <c r="C46" s="4" t="s">
        <v>195</v>
      </c>
      <c r="D46" s="4" t="s">
        <v>194</v>
      </c>
      <c r="E46" s="4" t="s">
        <v>194</v>
      </c>
      <c r="F46" s="4" t="s">
        <v>194</v>
      </c>
      <c r="G46" s="4" t="s">
        <v>194</v>
      </c>
      <c r="H46" s="4" t="s">
        <v>194</v>
      </c>
      <c r="I46" s="4" t="s">
        <v>194</v>
      </c>
      <c r="J46" s="11" t="s">
        <v>195</v>
      </c>
    </row>
    <row r="47" spans="1:10">
      <c r="A47" s="6" t="s">
        <v>166</v>
      </c>
      <c r="B47" s="6" t="s">
        <v>44</v>
      </c>
      <c r="C47" s="6" t="s">
        <v>194</v>
      </c>
      <c r="D47" s="6" t="s">
        <v>194</v>
      </c>
      <c r="E47" s="6" t="s">
        <v>195</v>
      </c>
      <c r="F47" s="6" t="s">
        <v>194</v>
      </c>
      <c r="G47" s="6" t="s">
        <v>195</v>
      </c>
      <c r="H47" s="6" t="s">
        <v>194</v>
      </c>
      <c r="I47" s="6" t="s">
        <v>195</v>
      </c>
      <c r="J47" s="11" t="s">
        <v>195</v>
      </c>
    </row>
    <row r="48" spans="1:10">
      <c r="A48" s="4" t="s">
        <v>166</v>
      </c>
      <c r="B48" s="4" t="s">
        <v>49</v>
      </c>
      <c r="C48" s="4" t="s">
        <v>195</v>
      </c>
      <c r="D48" s="4" t="s">
        <v>195</v>
      </c>
      <c r="E48" s="4" t="s">
        <v>194</v>
      </c>
      <c r="F48" s="4" t="s">
        <v>195</v>
      </c>
      <c r="G48" s="4" t="s">
        <v>194</v>
      </c>
      <c r="H48" s="4" t="s">
        <v>29</v>
      </c>
      <c r="I48" s="4" t="s">
        <v>195</v>
      </c>
      <c r="J48" s="7" t="s">
        <v>29</v>
      </c>
    </row>
    <row r="49" spans="1:10">
      <c r="A49" s="6" t="s">
        <v>166</v>
      </c>
      <c r="B49" s="6" t="s">
        <v>54</v>
      </c>
      <c r="C49" s="6" t="s">
        <v>195</v>
      </c>
      <c r="D49" s="6" t="s">
        <v>194</v>
      </c>
      <c r="E49" s="6" t="s">
        <v>195</v>
      </c>
      <c r="F49" s="6" t="s">
        <v>194</v>
      </c>
      <c r="G49" s="6" t="s">
        <v>195</v>
      </c>
      <c r="H49" s="6" t="s">
        <v>29</v>
      </c>
      <c r="I49" s="6" t="s">
        <v>194</v>
      </c>
      <c r="J49" s="7" t="s">
        <v>29</v>
      </c>
    </row>
    <row r="50" spans="1:10">
      <c r="A50" s="4" t="s">
        <v>166</v>
      </c>
      <c r="B50" s="4" t="s">
        <v>58</v>
      </c>
      <c r="C50" s="4" t="s">
        <v>195</v>
      </c>
      <c r="D50" s="4" t="s">
        <v>194</v>
      </c>
      <c r="E50" s="4" t="s">
        <v>195</v>
      </c>
      <c r="F50" s="4" t="s">
        <v>29</v>
      </c>
      <c r="G50" s="4" t="s">
        <v>195</v>
      </c>
      <c r="H50" s="4" t="s">
        <v>29</v>
      </c>
      <c r="I50" s="4" t="s">
        <v>29</v>
      </c>
      <c r="J50" s="7" t="s">
        <v>29</v>
      </c>
    </row>
    <row r="51" spans="1:10">
      <c r="A51" s="6" t="s">
        <v>166</v>
      </c>
      <c r="B51" s="6" t="s">
        <v>62</v>
      </c>
      <c r="C51" s="6" t="s">
        <v>195</v>
      </c>
      <c r="D51" s="6" t="s">
        <v>194</v>
      </c>
      <c r="E51" s="6" t="s">
        <v>195</v>
      </c>
      <c r="F51" s="6" t="s">
        <v>29</v>
      </c>
      <c r="G51" s="6" t="s">
        <v>194</v>
      </c>
      <c r="H51" s="6" t="s">
        <v>29</v>
      </c>
      <c r="I51" s="6" t="s">
        <v>29</v>
      </c>
      <c r="J51" s="7" t="s">
        <v>29</v>
      </c>
    </row>
    <row r="52" spans="1:10">
      <c r="A52" s="4" t="s">
        <v>166</v>
      </c>
      <c r="B52" s="4" t="s">
        <v>66</v>
      </c>
      <c r="C52" s="4" t="s">
        <v>195</v>
      </c>
      <c r="D52" s="4" t="s">
        <v>194</v>
      </c>
      <c r="E52" s="4" t="s">
        <v>29</v>
      </c>
      <c r="F52" s="4" t="s">
        <v>194</v>
      </c>
      <c r="G52" s="4" t="s">
        <v>29</v>
      </c>
      <c r="H52" s="4" t="s">
        <v>194</v>
      </c>
      <c r="I52" s="4" t="s">
        <v>194</v>
      </c>
      <c r="J52" s="11" t="s">
        <v>195</v>
      </c>
    </row>
    <row r="53" spans="1:10">
      <c r="A53" s="6" t="s">
        <v>166</v>
      </c>
      <c r="B53" s="6" t="s">
        <v>70</v>
      </c>
      <c r="C53" s="6" t="s">
        <v>29</v>
      </c>
      <c r="D53" s="6" t="s">
        <v>29</v>
      </c>
      <c r="E53" s="6" t="s">
        <v>29</v>
      </c>
      <c r="F53" s="6" t="s">
        <v>29</v>
      </c>
      <c r="G53" s="6" t="s">
        <v>29</v>
      </c>
      <c r="H53" s="6" t="s">
        <v>194</v>
      </c>
      <c r="I53" s="6" t="s">
        <v>29</v>
      </c>
      <c r="J53" s="7" t="s">
        <v>29</v>
      </c>
    </row>
    <row r="54" spans="1:10">
      <c r="A54" s="4" t="s">
        <v>167</v>
      </c>
      <c r="B54" s="4" t="s">
        <v>23</v>
      </c>
      <c r="C54" s="4" t="s">
        <v>194</v>
      </c>
      <c r="D54" s="4" t="s">
        <v>29</v>
      </c>
      <c r="E54" s="4" t="s">
        <v>29</v>
      </c>
      <c r="F54" s="4" t="s">
        <v>29</v>
      </c>
      <c r="G54" s="4" t="s">
        <v>29</v>
      </c>
      <c r="H54" s="4" t="s">
        <v>194</v>
      </c>
      <c r="I54" s="4" t="s">
        <v>194</v>
      </c>
      <c r="J54" s="7" t="s">
        <v>29</v>
      </c>
    </row>
    <row r="55" spans="1:10">
      <c r="A55" s="6" t="s">
        <v>167</v>
      </c>
      <c r="B55" s="6" t="s">
        <v>32</v>
      </c>
      <c r="C55" s="6" t="s">
        <v>195</v>
      </c>
      <c r="D55" s="6" t="s">
        <v>29</v>
      </c>
      <c r="E55" s="6" t="s">
        <v>194</v>
      </c>
      <c r="F55" s="6" t="s">
        <v>29</v>
      </c>
      <c r="G55" s="6" t="s">
        <v>29</v>
      </c>
      <c r="H55" s="6" t="s">
        <v>29</v>
      </c>
      <c r="I55" s="6" t="s">
        <v>194</v>
      </c>
      <c r="J55" s="7" t="s">
        <v>29</v>
      </c>
    </row>
    <row r="56" spans="1:10">
      <c r="A56" s="4" t="s">
        <v>167</v>
      </c>
      <c r="B56" s="4" t="s">
        <v>38</v>
      </c>
      <c r="C56" s="4" t="s">
        <v>195</v>
      </c>
      <c r="D56" s="4" t="s">
        <v>194</v>
      </c>
      <c r="E56" s="4" t="s">
        <v>194</v>
      </c>
      <c r="F56" s="4" t="s">
        <v>195</v>
      </c>
      <c r="G56" s="4" t="s">
        <v>29</v>
      </c>
      <c r="H56" s="4" t="s">
        <v>195</v>
      </c>
      <c r="I56" s="4" t="s">
        <v>194</v>
      </c>
      <c r="J56" s="7" t="s">
        <v>29</v>
      </c>
    </row>
    <row r="57" spans="1:10">
      <c r="A57" s="6" t="s">
        <v>167</v>
      </c>
      <c r="B57" s="6" t="s">
        <v>44</v>
      </c>
      <c r="C57" s="6" t="s">
        <v>194</v>
      </c>
      <c r="D57" s="6" t="s">
        <v>194</v>
      </c>
      <c r="E57" s="6" t="s">
        <v>29</v>
      </c>
      <c r="F57" s="6" t="s">
        <v>29</v>
      </c>
      <c r="G57" s="6" t="s">
        <v>195</v>
      </c>
      <c r="H57" s="6" t="s">
        <v>29</v>
      </c>
      <c r="I57" s="6" t="s">
        <v>29</v>
      </c>
      <c r="J57" s="7" t="s">
        <v>29</v>
      </c>
    </row>
    <row r="58" spans="1:10">
      <c r="A58" s="4" t="s">
        <v>167</v>
      </c>
      <c r="B58" s="4" t="s">
        <v>49</v>
      </c>
      <c r="C58" s="4" t="s">
        <v>29</v>
      </c>
      <c r="D58" s="4" t="s">
        <v>29</v>
      </c>
      <c r="E58" s="4" t="s">
        <v>29</v>
      </c>
      <c r="F58" s="4" t="s">
        <v>194</v>
      </c>
      <c r="G58" s="4" t="s">
        <v>195</v>
      </c>
      <c r="H58" s="4" t="s">
        <v>194</v>
      </c>
      <c r="I58" s="4" t="s">
        <v>194</v>
      </c>
      <c r="J58" s="7" t="s">
        <v>29</v>
      </c>
    </row>
    <row r="59" spans="1:10">
      <c r="A59" s="6" t="s">
        <v>167</v>
      </c>
      <c r="B59" s="6" t="s">
        <v>54</v>
      </c>
      <c r="C59" s="6" t="s">
        <v>195</v>
      </c>
      <c r="D59" s="6" t="s">
        <v>195</v>
      </c>
      <c r="E59" s="6" t="s">
        <v>29</v>
      </c>
      <c r="F59" s="6" t="s">
        <v>195</v>
      </c>
      <c r="G59" s="6" t="s">
        <v>29</v>
      </c>
      <c r="H59" s="6" t="s">
        <v>195</v>
      </c>
      <c r="I59" s="6" t="s">
        <v>195</v>
      </c>
      <c r="J59" s="7" t="s">
        <v>29</v>
      </c>
    </row>
    <row r="60" spans="1:10">
      <c r="A60" s="4" t="s">
        <v>167</v>
      </c>
      <c r="B60" s="4" t="s">
        <v>58</v>
      </c>
      <c r="C60" s="4" t="s">
        <v>195</v>
      </c>
      <c r="D60" s="4" t="s">
        <v>195</v>
      </c>
      <c r="E60" s="4" t="s">
        <v>195</v>
      </c>
      <c r="F60" s="4" t="s">
        <v>195</v>
      </c>
      <c r="G60" s="4" t="s">
        <v>194</v>
      </c>
      <c r="H60" s="4" t="s">
        <v>29</v>
      </c>
      <c r="I60" s="4" t="s">
        <v>194</v>
      </c>
      <c r="J60" s="7" t="s">
        <v>29</v>
      </c>
    </row>
    <row r="61" spans="1:10">
      <c r="A61" s="6" t="s">
        <v>167</v>
      </c>
      <c r="B61" s="6" t="s">
        <v>62</v>
      </c>
      <c r="C61" s="6" t="s">
        <v>29</v>
      </c>
      <c r="D61" s="6" t="s">
        <v>194</v>
      </c>
      <c r="E61" s="6" t="s">
        <v>29</v>
      </c>
      <c r="F61" s="6" t="s">
        <v>29</v>
      </c>
      <c r="G61" s="6" t="s">
        <v>195</v>
      </c>
      <c r="H61" s="6" t="s">
        <v>194</v>
      </c>
      <c r="I61" s="6" t="s">
        <v>194</v>
      </c>
      <c r="J61" s="7" t="s">
        <v>29</v>
      </c>
    </row>
    <row r="62" spans="1:10">
      <c r="A62" s="4" t="s">
        <v>167</v>
      </c>
      <c r="B62" s="4" t="s">
        <v>66</v>
      </c>
      <c r="C62" s="4" t="s">
        <v>194</v>
      </c>
      <c r="D62" s="4" t="s">
        <v>194</v>
      </c>
      <c r="E62" s="4" t="s">
        <v>195</v>
      </c>
      <c r="F62" s="4" t="s">
        <v>195</v>
      </c>
      <c r="G62" s="4" t="s">
        <v>195</v>
      </c>
      <c r="H62" s="4" t="s">
        <v>194</v>
      </c>
      <c r="I62" s="4" t="s">
        <v>195</v>
      </c>
      <c r="J62" s="7" t="s">
        <v>29</v>
      </c>
    </row>
    <row r="63" spans="1:10">
      <c r="A63" s="6" t="s">
        <v>167</v>
      </c>
      <c r="B63" s="6" t="s">
        <v>70</v>
      </c>
      <c r="C63" s="6" t="s">
        <v>29</v>
      </c>
      <c r="D63" s="6" t="s">
        <v>29</v>
      </c>
      <c r="E63" s="6" t="s">
        <v>194</v>
      </c>
      <c r="F63" s="6" t="s">
        <v>194</v>
      </c>
      <c r="G63" s="6" t="s">
        <v>194</v>
      </c>
      <c r="H63" s="6" t="s">
        <v>195</v>
      </c>
      <c r="I63" s="6" t="s">
        <v>29</v>
      </c>
      <c r="J63" s="7" t="s">
        <v>29</v>
      </c>
    </row>
    <row r="64" spans="1:10">
      <c r="A64" s="4" t="s">
        <v>168</v>
      </c>
      <c r="B64" s="4" t="s">
        <v>23</v>
      </c>
      <c r="C64" s="4" t="s">
        <v>194</v>
      </c>
      <c r="D64" s="4" t="s">
        <v>29</v>
      </c>
      <c r="E64" s="4" t="s">
        <v>194</v>
      </c>
      <c r="F64" s="4" t="s">
        <v>29</v>
      </c>
      <c r="G64" s="4" t="s">
        <v>195</v>
      </c>
      <c r="H64" s="4" t="s">
        <v>195</v>
      </c>
      <c r="I64" s="4" t="s">
        <v>194</v>
      </c>
      <c r="J64" s="7" t="s">
        <v>29</v>
      </c>
    </row>
    <row r="65" spans="1:10">
      <c r="A65" s="6" t="s">
        <v>168</v>
      </c>
      <c r="B65" s="6" t="s">
        <v>32</v>
      </c>
      <c r="C65" s="6" t="s">
        <v>29</v>
      </c>
      <c r="D65" s="6" t="s">
        <v>194</v>
      </c>
      <c r="E65" s="6" t="s">
        <v>195</v>
      </c>
      <c r="F65" s="6" t="s">
        <v>194</v>
      </c>
      <c r="G65" s="6" t="s">
        <v>195</v>
      </c>
      <c r="H65" s="6" t="s">
        <v>194</v>
      </c>
      <c r="I65" s="6" t="s">
        <v>29</v>
      </c>
      <c r="J65" s="7" t="s">
        <v>29</v>
      </c>
    </row>
    <row r="66" spans="1:10">
      <c r="A66" s="4" t="s">
        <v>168</v>
      </c>
      <c r="B66" s="4" t="s">
        <v>38</v>
      </c>
      <c r="C66" s="4" t="s">
        <v>195</v>
      </c>
      <c r="D66" s="4" t="s">
        <v>195</v>
      </c>
      <c r="E66" s="4" t="s">
        <v>194</v>
      </c>
      <c r="F66" s="4" t="s">
        <v>195</v>
      </c>
      <c r="G66" s="4" t="s">
        <v>29</v>
      </c>
      <c r="H66" s="4" t="s">
        <v>195</v>
      </c>
      <c r="I66" s="4" t="s">
        <v>29</v>
      </c>
      <c r="J66" s="7" t="s">
        <v>29</v>
      </c>
    </row>
    <row r="67" spans="1:10">
      <c r="A67" s="6" t="s">
        <v>168</v>
      </c>
      <c r="B67" s="6" t="s">
        <v>44</v>
      </c>
      <c r="C67" s="6" t="s">
        <v>194</v>
      </c>
      <c r="D67" s="6" t="s">
        <v>29</v>
      </c>
      <c r="E67" s="6" t="s">
        <v>29</v>
      </c>
      <c r="F67" s="6" t="s">
        <v>195</v>
      </c>
      <c r="G67" s="6" t="s">
        <v>195</v>
      </c>
      <c r="H67" s="6" t="s">
        <v>195</v>
      </c>
      <c r="I67" s="6" t="s">
        <v>194</v>
      </c>
      <c r="J67" s="7" t="s">
        <v>29</v>
      </c>
    </row>
    <row r="68" spans="1:10">
      <c r="A68" s="4" t="s">
        <v>168</v>
      </c>
      <c r="B68" s="4" t="s">
        <v>49</v>
      </c>
      <c r="C68" s="4" t="s">
        <v>29</v>
      </c>
      <c r="D68" s="4" t="s">
        <v>29</v>
      </c>
      <c r="E68" s="4" t="s">
        <v>194</v>
      </c>
      <c r="F68" s="4" t="s">
        <v>195</v>
      </c>
      <c r="G68" s="4" t="s">
        <v>194</v>
      </c>
      <c r="H68" s="4" t="s">
        <v>29</v>
      </c>
      <c r="I68" s="4" t="s">
        <v>194</v>
      </c>
      <c r="J68" s="7" t="s">
        <v>29</v>
      </c>
    </row>
    <row r="69" spans="1:10">
      <c r="A69" s="6" t="s">
        <v>168</v>
      </c>
      <c r="B69" s="6" t="s">
        <v>54</v>
      </c>
      <c r="C69" s="6" t="s">
        <v>195</v>
      </c>
      <c r="D69" s="6" t="s">
        <v>195</v>
      </c>
      <c r="E69" s="6" t="s">
        <v>195</v>
      </c>
      <c r="F69" s="6" t="s">
        <v>194</v>
      </c>
      <c r="G69" s="6" t="s">
        <v>194</v>
      </c>
      <c r="H69" s="6" t="s">
        <v>29</v>
      </c>
      <c r="I69" s="6" t="s">
        <v>195</v>
      </c>
      <c r="J69" s="7" t="s">
        <v>29</v>
      </c>
    </row>
    <row r="70" spans="1:10">
      <c r="A70" s="4" t="s">
        <v>168</v>
      </c>
      <c r="B70" s="4" t="s">
        <v>58</v>
      </c>
      <c r="C70" s="4" t="s">
        <v>29</v>
      </c>
      <c r="D70" s="4" t="s">
        <v>194</v>
      </c>
      <c r="E70" s="4" t="s">
        <v>194</v>
      </c>
      <c r="F70" s="4" t="s">
        <v>195</v>
      </c>
      <c r="G70" s="4" t="s">
        <v>195</v>
      </c>
      <c r="H70" s="4" t="s">
        <v>195</v>
      </c>
      <c r="I70" s="4" t="s">
        <v>29</v>
      </c>
      <c r="J70" s="7" t="s">
        <v>29</v>
      </c>
    </row>
    <row r="71" spans="1:10">
      <c r="A71" s="6" t="s">
        <v>168</v>
      </c>
      <c r="B71" s="6" t="s">
        <v>62</v>
      </c>
      <c r="C71" s="6" t="s">
        <v>195</v>
      </c>
      <c r="D71" s="6" t="s">
        <v>194</v>
      </c>
      <c r="E71" s="6" t="s">
        <v>29</v>
      </c>
      <c r="F71" s="6" t="s">
        <v>195</v>
      </c>
      <c r="G71" s="6" t="s">
        <v>195</v>
      </c>
      <c r="H71" s="6" t="s">
        <v>29</v>
      </c>
      <c r="I71" s="6" t="s">
        <v>195</v>
      </c>
      <c r="J71" s="7" t="s">
        <v>29</v>
      </c>
    </row>
    <row r="72" spans="1:10">
      <c r="A72" s="4" t="s">
        <v>168</v>
      </c>
      <c r="B72" s="4" t="s">
        <v>66</v>
      </c>
      <c r="C72" s="4" t="s">
        <v>29</v>
      </c>
      <c r="D72" s="4" t="s">
        <v>194</v>
      </c>
      <c r="E72" s="4" t="s">
        <v>195</v>
      </c>
      <c r="F72" s="4" t="s">
        <v>29</v>
      </c>
      <c r="G72" s="4" t="s">
        <v>194</v>
      </c>
      <c r="H72" s="4" t="s">
        <v>195</v>
      </c>
      <c r="I72" s="4" t="s">
        <v>194</v>
      </c>
      <c r="J72" s="7" t="s">
        <v>29</v>
      </c>
    </row>
    <row r="73" spans="1:10">
      <c r="A73" s="6" t="s">
        <v>168</v>
      </c>
      <c r="B73" s="6" t="s">
        <v>70</v>
      </c>
      <c r="C73" s="6" t="s">
        <v>194</v>
      </c>
      <c r="D73" s="6" t="s">
        <v>194</v>
      </c>
      <c r="E73" s="6" t="s">
        <v>194</v>
      </c>
      <c r="F73" s="6" t="s">
        <v>195</v>
      </c>
      <c r="G73" s="6" t="s">
        <v>194</v>
      </c>
      <c r="H73" s="6" t="s">
        <v>194</v>
      </c>
      <c r="I73" s="6" t="s">
        <v>194</v>
      </c>
      <c r="J73" s="11" t="s">
        <v>195</v>
      </c>
    </row>
    <row r="74" spans="1:10">
      <c r="A74" s="4" t="s">
        <v>169</v>
      </c>
      <c r="B74" s="4" t="s">
        <v>23</v>
      </c>
      <c r="C74" s="4" t="s">
        <v>195</v>
      </c>
      <c r="D74" s="4" t="s">
        <v>195</v>
      </c>
      <c r="E74" s="4" t="s">
        <v>194</v>
      </c>
      <c r="F74" s="4" t="s">
        <v>194</v>
      </c>
      <c r="G74" s="4" t="s">
        <v>194</v>
      </c>
      <c r="H74" s="4" t="s">
        <v>29</v>
      </c>
      <c r="I74" s="4" t="s">
        <v>194</v>
      </c>
      <c r="J74" s="11" t="s">
        <v>195</v>
      </c>
    </row>
    <row r="75" spans="1:10">
      <c r="A75" s="6" t="s">
        <v>169</v>
      </c>
      <c r="B75" s="6" t="s">
        <v>32</v>
      </c>
      <c r="C75" s="6" t="s">
        <v>29</v>
      </c>
      <c r="D75" s="6" t="s">
        <v>195</v>
      </c>
      <c r="E75" s="6" t="s">
        <v>194</v>
      </c>
      <c r="F75" s="6" t="s">
        <v>29</v>
      </c>
      <c r="G75" s="6" t="s">
        <v>195</v>
      </c>
      <c r="H75" s="6" t="s">
        <v>195</v>
      </c>
      <c r="I75" s="6" t="s">
        <v>195</v>
      </c>
      <c r="J75" s="7" t="s">
        <v>29</v>
      </c>
    </row>
    <row r="76" spans="1:10">
      <c r="A76" s="4" t="s">
        <v>169</v>
      </c>
      <c r="B76" s="4" t="s">
        <v>38</v>
      </c>
      <c r="C76" s="4" t="s">
        <v>194</v>
      </c>
      <c r="D76" s="4" t="s">
        <v>29</v>
      </c>
      <c r="E76" s="4" t="s">
        <v>194</v>
      </c>
      <c r="F76" s="4" t="s">
        <v>195</v>
      </c>
      <c r="G76" s="4" t="s">
        <v>195</v>
      </c>
      <c r="H76" s="4" t="s">
        <v>194</v>
      </c>
      <c r="I76" s="4" t="s">
        <v>194</v>
      </c>
      <c r="J76" s="11" t="s">
        <v>195</v>
      </c>
    </row>
    <row r="77" spans="1:10">
      <c r="A77" s="6" t="s">
        <v>169</v>
      </c>
      <c r="B77" s="6" t="s">
        <v>44</v>
      </c>
      <c r="C77" s="6" t="s">
        <v>194</v>
      </c>
      <c r="D77" s="6" t="s">
        <v>29</v>
      </c>
      <c r="E77" s="6" t="s">
        <v>29</v>
      </c>
      <c r="F77" s="6" t="s">
        <v>29</v>
      </c>
      <c r="G77" s="6" t="s">
        <v>29</v>
      </c>
      <c r="H77" s="6" t="s">
        <v>194</v>
      </c>
      <c r="I77" s="6" t="s">
        <v>195</v>
      </c>
      <c r="J77" s="7" t="s">
        <v>29</v>
      </c>
    </row>
    <row r="78" spans="1:10">
      <c r="A78" s="4" t="s">
        <v>169</v>
      </c>
      <c r="B78" s="4" t="s">
        <v>49</v>
      </c>
      <c r="C78" s="4" t="s">
        <v>195</v>
      </c>
      <c r="D78" s="4" t="s">
        <v>195</v>
      </c>
      <c r="E78" s="4" t="s">
        <v>195</v>
      </c>
      <c r="F78" s="4" t="s">
        <v>29</v>
      </c>
      <c r="G78" s="4" t="s">
        <v>195</v>
      </c>
      <c r="H78" s="4" t="s">
        <v>194</v>
      </c>
      <c r="I78" s="4" t="s">
        <v>29</v>
      </c>
      <c r="J78" s="7" t="s">
        <v>29</v>
      </c>
    </row>
    <row r="79" spans="1:10">
      <c r="A79" s="6" t="s">
        <v>169</v>
      </c>
      <c r="B79" s="6" t="s">
        <v>54</v>
      </c>
      <c r="C79" s="6" t="s">
        <v>195</v>
      </c>
      <c r="D79" s="6" t="s">
        <v>29</v>
      </c>
      <c r="E79" s="6" t="s">
        <v>194</v>
      </c>
      <c r="F79" s="6" t="s">
        <v>195</v>
      </c>
      <c r="G79" s="6" t="s">
        <v>29</v>
      </c>
      <c r="H79" s="6" t="s">
        <v>194</v>
      </c>
      <c r="I79" s="6" t="s">
        <v>195</v>
      </c>
      <c r="J79" s="7" t="s">
        <v>29</v>
      </c>
    </row>
    <row r="80" spans="1:10">
      <c r="A80" s="4" t="s">
        <v>169</v>
      </c>
      <c r="B80" s="4" t="s">
        <v>58</v>
      </c>
      <c r="C80" s="4" t="s">
        <v>29</v>
      </c>
      <c r="D80" s="4" t="s">
        <v>195</v>
      </c>
      <c r="E80" s="4" t="s">
        <v>29</v>
      </c>
      <c r="F80" s="4" t="s">
        <v>195</v>
      </c>
      <c r="G80" s="4" t="s">
        <v>194</v>
      </c>
      <c r="H80" s="4" t="s">
        <v>194</v>
      </c>
      <c r="I80" s="4" t="s">
        <v>194</v>
      </c>
      <c r="J80" s="7" t="s">
        <v>29</v>
      </c>
    </row>
    <row r="81" spans="1:10">
      <c r="A81" s="6" t="s">
        <v>169</v>
      </c>
      <c r="B81" s="6" t="s">
        <v>62</v>
      </c>
      <c r="C81" s="6" t="s">
        <v>194</v>
      </c>
      <c r="D81" s="6" t="s">
        <v>29</v>
      </c>
      <c r="E81" s="6" t="s">
        <v>194</v>
      </c>
      <c r="F81" s="6" t="s">
        <v>29</v>
      </c>
      <c r="G81" s="6" t="s">
        <v>29</v>
      </c>
      <c r="H81" s="6" t="s">
        <v>194</v>
      </c>
      <c r="I81" s="6" t="s">
        <v>29</v>
      </c>
      <c r="J81" s="7" t="s">
        <v>29</v>
      </c>
    </row>
    <row r="82" spans="1:10">
      <c r="A82" s="4" t="s">
        <v>169</v>
      </c>
      <c r="B82" s="4" t="s">
        <v>66</v>
      </c>
      <c r="C82" s="4" t="s">
        <v>194</v>
      </c>
      <c r="D82" s="4" t="s">
        <v>195</v>
      </c>
      <c r="E82" s="4" t="s">
        <v>195</v>
      </c>
      <c r="F82" s="4" t="s">
        <v>194</v>
      </c>
      <c r="G82" s="4" t="s">
        <v>195</v>
      </c>
      <c r="H82" s="4" t="s">
        <v>194</v>
      </c>
      <c r="I82" s="4" t="s">
        <v>29</v>
      </c>
      <c r="J82" s="7" t="s">
        <v>29</v>
      </c>
    </row>
    <row r="83" spans="1:10">
      <c r="A83" s="6" t="s">
        <v>169</v>
      </c>
      <c r="B83" s="6" t="s">
        <v>70</v>
      </c>
      <c r="C83" s="6" t="s">
        <v>195</v>
      </c>
      <c r="D83" s="6" t="s">
        <v>194</v>
      </c>
      <c r="E83" s="6" t="s">
        <v>29</v>
      </c>
      <c r="F83" s="6" t="s">
        <v>194</v>
      </c>
      <c r="G83" s="6" t="s">
        <v>29</v>
      </c>
      <c r="H83" s="6" t="s">
        <v>195</v>
      </c>
      <c r="I83" s="6" t="s">
        <v>194</v>
      </c>
      <c r="J83" s="7" t="s">
        <v>29</v>
      </c>
    </row>
    <row r="84" spans="1:10">
      <c r="A84" s="4" t="s">
        <v>170</v>
      </c>
      <c r="B84" s="4" t="s">
        <v>23</v>
      </c>
      <c r="C84" s="4" t="s">
        <v>29</v>
      </c>
      <c r="D84" s="4" t="s">
        <v>195</v>
      </c>
      <c r="E84" s="4" t="s">
        <v>29</v>
      </c>
      <c r="F84" s="4" t="s">
        <v>194</v>
      </c>
      <c r="G84" s="4" t="s">
        <v>194</v>
      </c>
      <c r="H84" s="4" t="s">
        <v>29</v>
      </c>
      <c r="I84" s="4" t="s">
        <v>195</v>
      </c>
      <c r="J84" s="7" t="s">
        <v>29</v>
      </c>
    </row>
    <row r="85" spans="1:10">
      <c r="A85" s="6" t="s">
        <v>170</v>
      </c>
      <c r="B85" s="6" t="s">
        <v>32</v>
      </c>
      <c r="C85" s="6" t="s">
        <v>29</v>
      </c>
      <c r="D85" s="6" t="s">
        <v>194</v>
      </c>
      <c r="E85" s="6" t="s">
        <v>194</v>
      </c>
      <c r="F85" s="6" t="s">
        <v>29</v>
      </c>
      <c r="G85" s="6" t="s">
        <v>195</v>
      </c>
      <c r="H85" s="6" t="s">
        <v>194</v>
      </c>
      <c r="I85" s="6" t="s">
        <v>195</v>
      </c>
      <c r="J85" s="7" t="s">
        <v>29</v>
      </c>
    </row>
    <row r="86" spans="1:10">
      <c r="A86" s="4" t="s">
        <v>170</v>
      </c>
      <c r="B86" s="4" t="s">
        <v>38</v>
      </c>
      <c r="C86" s="4" t="s">
        <v>29</v>
      </c>
      <c r="D86" s="4" t="s">
        <v>194</v>
      </c>
      <c r="E86" s="4" t="s">
        <v>29</v>
      </c>
      <c r="F86" s="4" t="s">
        <v>195</v>
      </c>
      <c r="G86" s="4" t="s">
        <v>195</v>
      </c>
      <c r="H86" s="4" t="s">
        <v>195</v>
      </c>
      <c r="I86" s="4" t="s">
        <v>29</v>
      </c>
      <c r="J86" s="7" t="s">
        <v>29</v>
      </c>
    </row>
    <row r="87" spans="1:10">
      <c r="A87" s="6" t="s">
        <v>170</v>
      </c>
      <c r="B87" s="6" t="s">
        <v>44</v>
      </c>
      <c r="C87" s="6" t="s">
        <v>195</v>
      </c>
      <c r="D87" s="6" t="s">
        <v>194</v>
      </c>
      <c r="E87" s="6" t="s">
        <v>195</v>
      </c>
      <c r="F87" s="6" t="s">
        <v>195</v>
      </c>
      <c r="G87" s="6" t="s">
        <v>194</v>
      </c>
      <c r="H87" s="6" t="s">
        <v>29</v>
      </c>
      <c r="I87" s="6" t="s">
        <v>195</v>
      </c>
      <c r="J87" s="7" t="s">
        <v>29</v>
      </c>
    </row>
    <row r="88" spans="1:10">
      <c r="A88" s="4" t="s">
        <v>170</v>
      </c>
      <c r="B88" s="4" t="s">
        <v>49</v>
      </c>
      <c r="C88" s="4" t="s">
        <v>29</v>
      </c>
      <c r="D88" s="4" t="s">
        <v>194</v>
      </c>
      <c r="E88" s="4" t="s">
        <v>195</v>
      </c>
      <c r="F88" s="4" t="s">
        <v>195</v>
      </c>
      <c r="G88" s="4" t="s">
        <v>194</v>
      </c>
      <c r="H88" s="4" t="s">
        <v>194</v>
      </c>
      <c r="I88" s="4" t="s">
        <v>29</v>
      </c>
      <c r="J88" s="7" t="s">
        <v>29</v>
      </c>
    </row>
    <row r="89" spans="1:10">
      <c r="A89" s="6" t="s">
        <v>170</v>
      </c>
      <c r="B89" s="6" t="s">
        <v>54</v>
      </c>
      <c r="C89" s="6" t="s">
        <v>29</v>
      </c>
      <c r="D89" s="6" t="s">
        <v>195</v>
      </c>
      <c r="E89" s="6" t="s">
        <v>194</v>
      </c>
      <c r="F89" s="6" t="s">
        <v>195</v>
      </c>
      <c r="G89" s="6" t="s">
        <v>29</v>
      </c>
      <c r="H89" s="6" t="s">
        <v>195</v>
      </c>
      <c r="I89" s="6" t="s">
        <v>194</v>
      </c>
      <c r="J89" s="7" t="s">
        <v>29</v>
      </c>
    </row>
    <row r="90" spans="1:10">
      <c r="A90" s="4" t="s">
        <v>170</v>
      </c>
      <c r="B90" s="4" t="s">
        <v>58</v>
      </c>
      <c r="C90" s="4" t="s">
        <v>195</v>
      </c>
      <c r="D90" s="4" t="s">
        <v>195</v>
      </c>
      <c r="E90" s="4" t="s">
        <v>195</v>
      </c>
      <c r="F90" s="4" t="s">
        <v>29</v>
      </c>
      <c r="G90" s="4" t="s">
        <v>29</v>
      </c>
      <c r="H90" s="4" t="s">
        <v>29</v>
      </c>
      <c r="I90" s="4" t="s">
        <v>195</v>
      </c>
      <c r="J90" s="7" t="s">
        <v>29</v>
      </c>
    </row>
    <row r="91" spans="1:10">
      <c r="A91" s="6" t="s">
        <v>170</v>
      </c>
      <c r="B91" s="6" t="s">
        <v>62</v>
      </c>
      <c r="C91" s="6" t="s">
        <v>194</v>
      </c>
      <c r="D91" s="6" t="s">
        <v>29</v>
      </c>
      <c r="E91" s="6" t="s">
        <v>29</v>
      </c>
      <c r="F91" s="6" t="s">
        <v>194</v>
      </c>
      <c r="G91" s="6" t="s">
        <v>194</v>
      </c>
      <c r="H91" s="6" t="s">
        <v>29</v>
      </c>
      <c r="I91" s="6" t="s">
        <v>194</v>
      </c>
      <c r="J91" s="11" t="s">
        <v>195</v>
      </c>
    </row>
    <row r="92" spans="1:10">
      <c r="A92" s="4" t="s">
        <v>170</v>
      </c>
      <c r="B92" s="4" t="s">
        <v>66</v>
      </c>
      <c r="C92" s="4" t="s">
        <v>29</v>
      </c>
      <c r="D92" s="4" t="s">
        <v>29</v>
      </c>
      <c r="E92" s="4" t="s">
        <v>195</v>
      </c>
      <c r="F92" s="4" t="s">
        <v>29</v>
      </c>
      <c r="G92" s="4" t="s">
        <v>194</v>
      </c>
      <c r="H92" s="4" t="s">
        <v>195</v>
      </c>
      <c r="I92" s="4" t="s">
        <v>195</v>
      </c>
      <c r="J92" s="7" t="s">
        <v>29</v>
      </c>
    </row>
    <row r="93" spans="1:10">
      <c r="A93" s="6" t="s">
        <v>170</v>
      </c>
      <c r="B93" s="6" t="s">
        <v>70</v>
      </c>
      <c r="C93" s="6" t="s">
        <v>29</v>
      </c>
      <c r="D93" s="6" t="s">
        <v>195</v>
      </c>
      <c r="E93" s="6" t="s">
        <v>194</v>
      </c>
      <c r="F93" s="6" t="s">
        <v>195</v>
      </c>
      <c r="G93" s="6" t="s">
        <v>194</v>
      </c>
      <c r="H93" s="6" t="s">
        <v>194</v>
      </c>
      <c r="I93" s="6" t="s">
        <v>195</v>
      </c>
      <c r="J93" s="7" t="s">
        <v>29</v>
      </c>
    </row>
    <row r="94" spans="1:10">
      <c r="A94" s="4" t="s">
        <v>171</v>
      </c>
      <c r="B94" s="4" t="s">
        <v>23</v>
      </c>
      <c r="C94" s="4" t="s">
        <v>194</v>
      </c>
      <c r="D94" s="4" t="s">
        <v>29</v>
      </c>
      <c r="E94" s="4" t="s">
        <v>194</v>
      </c>
      <c r="F94" s="4" t="s">
        <v>194</v>
      </c>
      <c r="G94" s="4" t="s">
        <v>195</v>
      </c>
      <c r="H94" s="4" t="s">
        <v>195</v>
      </c>
      <c r="I94" s="4" t="s">
        <v>195</v>
      </c>
      <c r="J94" s="7" t="s">
        <v>29</v>
      </c>
    </row>
    <row r="95" spans="1:10">
      <c r="A95" s="6" t="s">
        <v>171</v>
      </c>
      <c r="B95" s="6" t="s">
        <v>32</v>
      </c>
      <c r="C95" s="6" t="s">
        <v>195</v>
      </c>
      <c r="D95" s="6" t="s">
        <v>195</v>
      </c>
      <c r="E95" s="6" t="s">
        <v>194</v>
      </c>
      <c r="F95" s="6" t="s">
        <v>195</v>
      </c>
      <c r="G95" s="6" t="s">
        <v>195</v>
      </c>
      <c r="H95" s="6" t="s">
        <v>29</v>
      </c>
      <c r="I95" s="6" t="s">
        <v>194</v>
      </c>
      <c r="J95" s="7" t="s">
        <v>29</v>
      </c>
    </row>
    <row r="96" spans="1:10">
      <c r="A96" s="4" t="s">
        <v>171</v>
      </c>
      <c r="B96" s="4" t="s">
        <v>38</v>
      </c>
      <c r="C96" s="4" t="s">
        <v>29</v>
      </c>
      <c r="D96" s="4" t="s">
        <v>194</v>
      </c>
      <c r="E96" s="4" t="s">
        <v>194</v>
      </c>
      <c r="F96" s="4" t="s">
        <v>195</v>
      </c>
      <c r="G96" s="4" t="s">
        <v>195</v>
      </c>
      <c r="H96" s="4" t="s">
        <v>194</v>
      </c>
      <c r="I96" s="4" t="s">
        <v>29</v>
      </c>
      <c r="J96" s="7" t="s">
        <v>29</v>
      </c>
    </row>
    <row r="97" spans="1:10">
      <c r="A97" s="6" t="s">
        <v>171</v>
      </c>
      <c r="B97" s="6" t="s">
        <v>44</v>
      </c>
      <c r="C97" s="6" t="s">
        <v>29</v>
      </c>
      <c r="D97" s="6" t="s">
        <v>194</v>
      </c>
      <c r="E97" s="6" t="s">
        <v>29</v>
      </c>
      <c r="F97" s="6" t="s">
        <v>195</v>
      </c>
      <c r="G97" s="6" t="s">
        <v>194</v>
      </c>
      <c r="H97" s="6" t="s">
        <v>194</v>
      </c>
      <c r="I97" s="6" t="s">
        <v>195</v>
      </c>
      <c r="J97" s="7" t="s">
        <v>29</v>
      </c>
    </row>
    <row r="98" spans="1:10">
      <c r="A98" s="4" t="s">
        <v>171</v>
      </c>
      <c r="B98" s="4" t="s">
        <v>49</v>
      </c>
      <c r="C98" s="4" t="s">
        <v>195</v>
      </c>
      <c r="D98" s="4" t="s">
        <v>194</v>
      </c>
      <c r="E98" s="4" t="s">
        <v>195</v>
      </c>
      <c r="F98" s="4" t="s">
        <v>195</v>
      </c>
      <c r="G98" s="4" t="s">
        <v>29</v>
      </c>
      <c r="H98" s="4" t="s">
        <v>195</v>
      </c>
      <c r="I98" s="4" t="s">
        <v>195</v>
      </c>
      <c r="J98" s="7" t="s">
        <v>29</v>
      </c>
    </row>
    <row r="99" spans="1:10">
      <c r="A99" s="6" t="s">
        <v>171</v>
      </c>
      <c r="B99" s="6" t="s">
        <v>54</v>
      </c>
      <c r="C99" s="6" t="s">
        <v>195</v>
      </c>
      <c r="D99" s="6" t="s">
        <v>29</v>
      </c>
      <c r="E99" s="6" t="s">
        <v>29</v>
      </c>
      <c r="F99" s="6" t="s">
        <v>29</v>
      </c>
      <c r="G99" s="6" t="s">
        <v>195</v>
      </c>
      <c r="H99" s="6" t="s">
        <v>29</v>
      </c>
      <c r="I99" s="6" t="s">
        <v>195</v>
      </c>
      <c r="J99" s="7" t="s">
        <v>29</v>
      </c>
    </row>
    <row r="100" spans="1:10">
      <c r="A100" s="4" t="s">
        <v>171</v>
      </c>
      <c r="B100" s="4" t="s">
        <v>58</v>
      </c>
      <c r="C100" s="4" t="s">
        <v>195</v>
      </c>
      <c r="D100" s="4" t="s">
        <v>195</v>
      </c>
      <c r="E100" s="4" t="s">
        <v>194</v>
      </c>
      <c r="F100" s="4" t="s">
        <v>29</v>
      </c>
      <c r="G100" s="4" t="s">
        <v>195</v>
      </c>
      <c r="H100" s="4" t="s">
        <v>195</v>
      </c>
      <c r="I100" s="4" t="s">
        <v>29</v>
      </c>
      <c r="J100" s="7" t="s">
        <v>29</v>
      </c>
    </row>
    <row r="101" spans="1:10">
      <c r="A101" s="6" t="s">
        <v>171</v>
      </c>
      <c r="B101" s="6" t="s">
        <v>62</v>
      </c>
      <c r="C101" s="6" t="s">
        <v>29</v>
      </c>
      <c r="D101" s="6" t="s">
        <v>194</v>
      </c>
      <c r="E101" s="6" t="s">
        <v>194</v>
      </c>
      <c r="F101" s="6" t="s">
        <v>29</v>
      </c>
      <c r="G101" s="6" t="s">
        <v>194</v>
      </c>
      <c r="H101" s="6" t="s">
        <v>194</v>
      </c>
      <c r="I101" s="6" t="s">
        <v>194</v>
      </c>
      <c r="J101" s="11" t="s">
        <v>195</v>
      </c>
    </row>
    <row r="102" spans="1:10">
      <c r="A102" s="4" t="s">
        <v>171</v>
      </c>
      <c r="B102" s="4" t="s">
        <v>66</v>
      </c>
      <c r="C102" s="4" t="s">
        <v>195</v>
      </c>
      <c r="D102" s="4" t="s">
        <v>29</v>
      </c>
      <c r="E102" s="4" t="s">
        <v>194</v>
      </c>
      <c r="F102" s="4" t="s">
        <v>195</v>
      </c>
      <c r="G102" s="4" t="s">
        <v>194</v>
      </c>
      <c r="H102" s="4" t="s">
        <v>29</v>
      </c>
      <c r="I102" s="4" t="s">
        <v>195</v>
      </c>
      <c r="J102" s="7" t="s">
        <v>29</v>
      </c>
    </row>
    <row r="103" spans="1:10">
      <c r="A103" s="6" t="s">
        <v>171</v>
      </c>
      <c r="B103" s="6" t="s">
        <v>70</v>
      </c>
      <c r="C103" s="6" t="s">
        <v>194</v>
      </c>
      <c r="D103" s="6" t="s">
        <v>194</v>
      </c>
      <c r="E103" s="6" t="s">
        <v>29</v>
      </c>
      <c r="F103" s="6" t="s">
        <v>195</v>
      </c>
      <c r="G103" s="6" t="s">
        <v>195</v>
      </c>
      <c r="H103" s="6" t="s">
        <v>29</v>
      </c>
      <c r="I103" s="6" t="s">
        <v>29</v>
      </c>
      <c r="J103" s="7" t="s">
        <v>29</v>
      </c>
    </row>
  </sheetData>
  <autoFilter ref="A3:J104" xr:uid="{00000000-0009-0000-0000-000002000000}"/>
  <mergeCells count="2">
    <mergeCell ref="A1:J1"/>
    <mergeCell ref="A2:J2"/>
  </mergeCells>
  <conditionalFormatting sqref="C4:I104">
    <cfRule type="cellIs" dxfId="5" priority="2" operator="equal">
      <formula>"Completed"</formula>
    </cfRule>
    <cfRule type="cellIs" dxfId="4" priority="3" operator="equal">
      <formula>"Pending"</formula>
    </cfRule>
    <cfRule type="cellIs" dxfId="3" priority="4" operator="equal">
      <formula>"In Progress"</formula>
    </cfRule>
  </conditionalFormatting>
  <dataValidations count="1">
    <dataValidation type="list" allowBlank="1" sqref="C4:J200" xr:uid="{00000000-0002-0000-0200-000000000000}">
      <formula1>"Completed,Pending,In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3"/>
  <sheetViews>
    <sheetView zoomScaleNormal="100" workbookViewId="0">
      <pane ySplit="3" topLeftCell="A4" activePane="bottomLeft" state="frozen"/>
      <selection pane="bottomLeft" sqref="A1:L1"/>
    </sheetView>
  </sheetViews>
  <sheetFormatPr defaultColWidth="8.6640625" defaultRowHeight="14.4"/>
  <cols>
    <col min="1" max="1" width="14" customWidth="1"/>
    <col min="2" max="2" width="22" customWidth="1"/>
    <col min="3" max="4" width="9" customWidth="1"/>
    <col min="5" max="5" width="12" customWidth="1"/>
    <col min="6" max="6" width="9" customWidth="1"/>
    <col min="7" max="8" width="10" customWidth="1"/>
    <col min="9" max="9" width="15" customWidth="1"/>
    <col min="10" max="11" width="12" customWidth="1"/>
    <col min="12" max="12" width="18" customWidth="1"/>
  </cols>
  <sheetData>
    <row r="1" spans="1:12" ht="45" customHeight="1">
      <c r="A1" s="45" t="s">
        <v>196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</row>
    <row r="2" spans="1:12" ht="21.75" customHeight="1">
      <c r="A2" s="46" t="s">
        <v>197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36" customHeight="1">
      <c r="A3" s="1" t="s">
        <v>155</v>
      </c>
      <c r="B3" s="1" t="s">
        <v>3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205</v>
      </c>
      <c r="K3" s="1" t="s">
        <v>206</v>
      </c>
      <c r="L3" s="1" t="s">
        <v>207</v>
      </c>
    </row>
    <row r="4" spans="1:12">
      <c r="A4" s="4" t="s">
        <v>162</v>
      </c>
      <c r="B4" s="4" t="s">
        <v>23</v>
      </c>
      <c r="C4" s="4">
        <v>92</v>
      </c>
      <c r="D4" s="4">
        <v>85</v>
      </c>
      <c r="E4" s="4">
        <v>83</v>
      </c>
      <c r="F4" s="4">
        <v>56</v>
      </c>
      <c r="G4" s="4">
        <v>55</v>
      </c>
      <c r="H4" s="4">
        <v>65</v>
      </c>
      <c r="I4" s="4">
        <v>74</v>
      </c>
      <c r="J4" s="4">
        <v>65</v>
      </c>
      <c r="K4" s="12">
        <f t="shared" ref="K4:K33" si="0">AVERAGE(C4:J4)</f>
        <v>71.875</v>
      </c>
      <c r="L4" s="4" t="str">
        <f t="shared" ref="L4:L33" si="1">IF(K4&gt;=80,"Excellent",IF(K4&gt;=60,"Good","Needs Improvement"))</f>
        <v>Good</v>
      </c>
    </row>
    <row r="5" spans="1:12">
      <c r="A5" s="6" t="s">
        <v>163</v>
      </c>
      <c r="B5" s="6" t="s">
        <v>32</v>
      </c>
      <c r="C5" s="6">
        <v>91</v>
      </c>
      <c r="D5" s="6">
        <v>75</v>
      </c>
      <c r="E5" s="6">
        <v>93</v>
      </c>
      <c r="F5" s="6">
        <v>65</v>
      </c>
      <c r="G5" s="6">
        <v>77</v>
      </c>
      <c r="H5" s="6">
        <v>60</v>
      </c>
      <c r="I5" s="6">
        <v>92</v>
      </c>
      <c r="J5" s="6">
        <v>55</v>
      </c>
      <c r="K5" s="13">
        <f t="shared" si="0"/>
        <v>76</v>
      </c>
      <c r="L5" s="6" t="str">
        <f t="shared" si="1"/>
        <v>Good</v>
      </c>
    </row>
    <row r="6" spans="1:12">
      <c r="A6" s="4" t="s">
        <v>164</v>
      </c>
      <c r="B6" s="4" t="s">
        <v>38</v>
      </c>
      <c r="C6" s="4">
        <v>59</v>
      </c>
      <c r="D6" s="4">
        <v>53</v>
      </c>
      <c r="E6" s="4">
        <v>55</v>
      </c>
      <c r="F6" s="4">
        <v>73</v>
      </c>
      <c r="G6" s="4">
        <v>70</v>
      </c>
      <c r="H6" s="4">
        <v>97</v>
      </c>
      <c r="I6" s="4">
        <v>98</v>
      </c>
      <c r="J6" s="4">
        <v>81</v>
      </c>
      <c r="K6" s="12">
        <f t="shared" si="0"/>
        <v>73.25</v>
      </c>
      <c r="L6" s="4" t="str">
        <f t="shared" si="1"/>
        <v>Good</v>
      </c>
    </row>
    <row r="7" spans="1:12">
      <c r="A7" s="6" t="s">
        <v>166</v>
      </c>
      <c r="B7" s="6" t="s">
        <v>44</v>
      </c>
      <c r="C7" s="6">
        <v>68</v>
      </c>
      <c r="D7" s="6">
        <v>50</v>
      </c>
      <c r="E7" s="6">
        <v>83</v>
      </c>
      <c r="F7" s="6">
        <v>64</v>
      </c>
      <c r="G7" s="6">
        <v>67</v>
      </c>
      <c r="H7" s="6">
        <v>67</v>
      </c>
      <c r="I7" s="6">
        <v>77</v>
      </c>
      <c r="J7" s="6">
        <v>87</v>
      </c>
      <c r="K7" s="13">
        <f t="shared" si="0"/>
        <v>70.375</v>
      </c>
      <c r="L7" s="6" t="str">
        <f t="shared" si="1"/>
        <v>Good</v>
      </c>
    </row>
    <row r="8" spans="1:12">
      <c r="A8" s="4" t="s">
        <v>167</v>
      </c>
      <c r="B8" s="4" t="s">
        <v>49</v>
      </c>
      <c r="C8" s="4">
        <v>62</v>
      </c>
      <c r="D8" s="4">
        <v>68</v>
      </c>
      <c r="E8" s="4">
        <v>88</v>
      </c>
      <c r="F8" s="4">
        <v>93</v>
      </c>
      <c r="G8" s="4">
        <v>86</v>
      </c>
      <c r="H8" s="4">
        <v>85</v>
      </c>
      <c r="I8" s="4">
        <v>64</v>
      </c>
      <c r="J8" s="4">
        <v>77</v>
      </c>
      <c r="K8" s="12">
        <f t="shared" si="0"/>
        <v>77.875</v>
      </c>
      <c r="L8" s="4" t="str">
        <f t="shared" si="1"/>
        <v>Good</v>
      </c>
    </row>
    <row r="9" spans="1:12">
      <c r="A9" s="6" t="s">
        <v>168</v>
      </c>
      <c r="B9" s="6" t="s">
        <v>54</v>
      </c>
      <c r="C9" s="6">
        <v>87</v>
      </c>
      <c r="D9" s="6">
        <v>61</v>
      </c>
      <c r="E9" s="6">
        <v>87</v>
      </c>
      <c r="F9" s="6">
        <v>61</v>
      </c>
      <c r="G9" s="6">
        <v>53</v>
      </c>
      <c r="H9" s="6">
        <v>100</v>
      </c>
      <c r="I9" s="6">
        <v>59</v>
      </c>
      <c r="J9" s="6">
        <v>93</v>
      </c>
      <c r="K9" s="13">
        <f t="shared" si="0"/>
        <v>75.125</v>
      </c>
      <c r="L9" s="6" t="str">
        <f t="shared" si="1"/>
        <v>Good</v>
      </c>
    </row>
    <row r="10" spans="1:12">
      <c r="A10" s="4" t="s">
        <v>169</v>
      </c>
      <c r="B10" s="4" t="s">
        <v>58</v>
      </c>
      <c r="C10" s="4">
        <v>81</v>
      </c>
      <c r="D10" s="4">
        <v>57</v>
      </c>
      <c r="E10" s="4">
        <v>50</v>
      </c>
      <c r="F10" s="4">
        <v>84</v>
      </c>
      <c r="G10" s="4">
        <v>84</v>
      </c>
      <c r="H10" s="4">
        <v>92</v>
      </c>
      <c r="I10" s="4">
        <v>71</v>
      </c>
      <c r="J10" s="4">
        <v>80</v>
      </c>
      <c r="K10" s="12">
        <f t="shared" si="0"/>
        <v>74.875</v>
      </c>
      <c r="L10" s="4" t="str">
        <f t="shared" si="1"/>
        <v>Good</v>
      </c>
    </row>
    <row r="11" spans="1:12">
      <c r="A11" s="6" t="s">
        <v>170</v>
      </c>
      <c r="B11" s="6" t="s">
        <v>62</v>
      </c>
      <c r="C11" s="6">
        <v>70</v>
      </c>
      <c r="D11" s="6">
        <v>83</v>
      </c>
      <c r="E11" s="6">
        <v>60</v>
      </c>
      <c r="F11" s="6">
        <v>81</v>
      </c>
      <c r="G11" s="6">
        <v>95</v>
      </c>
      <c r="H11" s="6">
        <v>57</v>
      </c>
      <c r="I11" s="6">
        <v>74</v>
      </c>
      <c r="J11" s="6">
        <v>85</v>
      </c>
      <c r="K11" s="13">
        <f t="shared" si="0"/>
        <v>75.625</v>
      </c>
      <c r="L11" s="6" t="str">
        <f t="shared" si="1"/>
        <v>Good</v>
      </c>
    </row>
    <row r="12" spans="1:12">
      <c r="A12" s="4" t="s">
        <v>171</v>
      </c>
      <c r="B12" s="4" t="s">
        <v>66</v>
      </c>
      <c r="C12" s="4">
        <v>71</v>
      </c>
      <c r="D12" s="4">
        <v>90</v>
      </c>
      <c r="E12" s="4">
        <v>81</v>
      </c>
      <c r="F12" s="4">
        <v>85</v>
      </c>
      <c r="G12" s="4">
        <v>68</v>
      </c>
      <c r="H12" s="4">
        <v>70</v>
      </c>
      <c r="I12" s="4">
        <v>85</v>
      </c>
      <c r="J12" s="4">
        <v>53</v>
      </c>
      <c r="K12" s="12">
        <f t="shared" si="0"/>
        <v>75.375</v>
      </c>
      <c r="L12" s="4" t="str">
        <f t="shared" si="1"/>
        <v>Good</v>
      </c>
    </row>
    <row r="13" spans="1:12">
      <c r="A13" s="6" t="s">
        <v>172</v>
      </c>
      <c r="B13" s="6" t="s">
        <v>70</v>
      </c>
      <c r="C13" s="6">
        <v>88</v>
      </c>
      <c r="D13" s="6">
        <v>77</v>
      </c>
      <c r="E13" s="6">
        <v>59</v>
      </c>
      <c r="F13" s="6">
        <v>69</v>
      </c>
      <c r="G13" s="6">
        <v>91</v>
      </c>
      <c r="H13" s="6">
        <v>99</v>
      </c>
      <c r="I13" s="6">
        <v>73</v>
      </c>
      <c r="J13" s="6">
        <v>88</v>
      </c>
      <c r="K13" s="13">
        <f t="shared" si="0"/>
        <v>80.5</v>
      </c>
      <c r="L13" s="6" t="str">
        <f t="shared" si="1"/>
        <v>Excellent</v>
      </c>
    </row>
    <row r="14" spans="1:12">
      <c r="A14" s="4" t="s">
        <v>173</v>
      </c>
      <c r="B14" s="4" t="s">
        <v>74</v>
      </c>
      <c r="C14" s="4">
        <v>55</v>
      </c>
      <c r="D14" s="4">
        <v>57</v>
      </c>
      <c r="E14" s="4">
        <v>55</v>
      </c>
      <c r="F14" s="4">
        <v>80</v>
      </c>
      <c r="G14" s="4">
        <v>94</v>
      </c>
      <c r="H14" s="4">
        <v>55</v>
      </c>
      <c r="I14" s="4">
        <v>67</v>
      </c>
      <c r="J14" s="4">
        <v>63</v>
      </c>
      <c r="K14" s="12">
        <f t="shared" si="0"/>
        <v>65.75</v>
      </c>
      <c r="L14" s="4" t="str">
        <f t="shared" si="1"/>
        <v>Good</v>
      </c>
    </row>
    <row r="15" spans="1:12">
      <c r="A15" s="6" t="s">
        <v>174</v>
      </c>
      <c r="B15" s="6" t="s">
        <v>78</v>
      </c>
      <c r="C15" s="6">
        <v>53</v>
      </c>
      <c r="D15" s="6">
        <v>75</v>
      </c>
      <c r="E15" s="6">
        <v>83</v>
      </c>
      <c r="F15" s="6">
        <v>63</v>
      </c>
      <c r="G15" s="6">
        <v>58</v>
      </c>
      <c r="H15" s="6">
        <v>67</v>
      </c>
      <c r="I15" s="6">
        <v>72</v>
      </c>
      <c r="J15" s="6">
        <v>97</v>
      </c>
      <c r="K15" s="13">
        <f t="shared" si="0"/>
        <v>71</v>
      </c>
      <c r="L15" s="6" t="str">
        <f t="shared" si="1"/>
        <v>Good</v>
      </c>
    </row>
    <row r="16" spans="1:12">
      <c r="A16" s="4" t="s">
        <v>175</v>
      </c>
      <c r="B16" s="4" t="s">
        <v>82</v>
      </c>
      <c r="C16" s="4">
        <v>67</v>
      </c>
      <c r="D16" s="4">
        <v>51</v>
      </c>
      <c r="E16" s="4">
        <v>80</v>
      </c>
      <c r="F16" s="4">
        <v>82</v>
      </c>
      <c r="G16" s="4">
        <v>52</v>
      </c>
      <c r="H16" s="4">
        <v>88</v>
      </c>
      <c r="I16" s="4">
        <v>68</v>
      </c>
      <c r="J16" s="4">
        <v>77</v>
      </c>
      <c r="K16" s="12">
        <f t="shared" si="0"/>
        <v>70.625</v>
      </c>
      <c r="L16" s="4" t="str">
        <f t="shared" si="1"/>
        <v>Good</v>
      </c>
    </row>
    <row r="17" spans="1:12">
      <c r="A17" s="6" t="s">
        <v>176</v>
      </c>
      <c r="B17" s="6" t="s">
        <v>86</v>
      </c>
      <c r="C17" s="6">
        <v>88</v>
      </c>
      <c r="D17" s="6">
        <v>74</v>
      </c>
      <c r="E17" s="6">
        <v>77</v>
      </c>
      <c r="F17" s="6">
        <v>91</v>
      </c>
      <c r="G17" s="6">
        <v>60</v>
      </c>
      <c r="H17" s="6">
        <v>98</v>
      </c>
      <c r="I17" s="6">
        <v>91</v>
      </c>
      <c r="J17" s="6">
        <v>77</v>
      </c>
      <c r="K17" s="13">
        <f t="shared" si="0"/>
        <v>82</v>
      </c>
      <c r="L17" s="6" t="str">
        <f t="shared" si="1"/>
        <v>Excellent</v>
      </c>
    </row>
    <row r="18" spans="1:12">
      <c r="A18" s="4" t="s">
        <v>177</v>
      </c>
      <c r="B18" s="4" t="s">
        <v>90</v>
      </c>
      <c r="C18" s="4">
        <v>87</v>
      </c>
      <c r="D18" s="4">
        <v>95</v>
      </c>
      <c r="E18" s="4">
        <v>66</v>
      </c>
      <c r="F18" s="4">
        <v>81</v>
      </c>
      <c r="G18" s="4">
        <v>58</v>
      </c>
      <c r="H18" s="4">
        <v>69</v>
      </c>
      <c r="I18" s="4">
        <v>74</v>
      </c>
      <c r="J18" s="4">
        <v>96</v>
      </c>
      <c r="K18" s="12">
        <f t="shared" si="0"/>
        <v>78.25</v>
      </c>
      <c r="L18" s="4" t="str">
        <f t="shared" si="1"/>
        <v>Good</v>
      </c>
    </row>
    <row r="19" spans="1:12">
      <c r="A19" s="6" t="s">
        <v>178</v>
      </c>
      <c r="B19" s="6" t="s">
        <v>94</v>
      </c>
      <c r="C19" s="6">
        <v>91</v>
      </c>
      <c r="D19" s="6">
        <v>52</v>
      </c>
      <c r="E19" s="6">
        <v>83</v>
      </c>
      <c r="F19" s="6">
        <v>66</v>
      </c>
      <c r="G19" s="6">
        <v>50</v>
      </c>
      <c r="H19" s="6">
        <v>87</v>
      </c>
      <c r="I19" s="6">
        <v>58</v>
      </c>
      <c r="J19" s="6">
        <v>62</v>
      </c>
      <c r="K19" s="13">
        <f t="shared" si="0"/>
        <v>68.625</v>
      </c>
      <c r="L19" s="6" t="str">
        <f t="shared" si="1"/>
        <v>Good</v>
      </c>
    </row>
    <row r="20" spans="1:12">
      <c r="A20" s="4" t="s">
        <v>179</v>
      </c>
      <c r="B20" s="4" t="s">
        <v>98</v>
      </c>
      <c r="C20" s="4">
        <v>92</v>
      </c>
      <c r="D20" s="4">
        <v>52</v>
      </c>
      <c r="E20" s="4">
        <v>89</v>
      </c>
      <c r="F20" s="4">
        <v>100</v>
      </c>
      <c r="G20" s="4">
        <v>80</v>
      </c>
      <c r="H20" s="4">
        <v>87</v>
      </c>
      <c r="I20" s="4">
        <v>55</v>
      </c>
      <c r="J20" s="4">
        <v>79</v>
      </c>
      <c r="K20" s="12">
        <f t="shared" si="0"/>
        <v>79.25</v>
      </c>
      <c r="L20" s="4" t="str">
        <f t="shared" si="1"/>
        <v>Good</v>
      </c>
    </row>
    <row r="21" spans="1:12">
      <c r="A21" s="6" t="s">
        <v>180</v>
      </c>
      <c r="B21" s="6" t="s">
        <v>102</v>
      </c>
      <c r="C21" s="6">
        <v>50</v>
      </c>
      <c r="D21" s="6">
        <v>60</v>
      </c>
      <c r="E21" s="6">
        <v>81</v>
      </c>
      <c r="F21" s="6">
        <v>70</v>
      </c>
      <c r="G21" s="6">
        <v>74</v>
      </c>
      <c r="H21" s="6">
        <v>98</v>
      </c>
      <c r="I21" s="6">
        <v>93</v>
      </c>
      <c r="J21" s="6">
        <v>68</v>
      </c>
      <c r="K21" s="13">
        <f t="shared" si="0"/>
        <v>74.25</v>
      </c>
      <c r="L21" s="6" t="str">
        <f t="shared" si="1"/>
        <v>Good</v>
      </c>
    </row>
    <row r="22" spans="1:12">
      <c r="A22" s="4" t="s">
        <v>181</v>
      </c>
      <c r="B22" s="4" t="s">
        <v>106</v>
      </c>
      <c r="C22" s="4">
        <v>55</v>
      </c>
      <c r="D22" s="4">
        <v>66</v>
      </c>
      <c r="E22" s="4">
        <v>92</v>
      </c>
      <c r="F22" s="4">
        <v>86</v>
      </c>
      <c r="G22" s="4">
        <v>65</v>
      </c>
      <c r="H22" s="4">
        <v>63</v>
      </c>
      <c r="I22" s="4">
        <v>69</v>
      </c>
      <c r="J22" s="4">
        <v>55</v>
      </c>
      <c r="K22" s="12">
        <f t="shared" si="0"/>
        <v>68.875</v>
      </c>
      <c r="L22" s="4" t="str">
        <f t="shared" si="1"/>
        <v>Good</v>
      </c>
    </row>
    <row r="23" spans="1:12">
      <c r="A23" s="6" t="s">
        <v>208</v>
      </c>
      <c r="B23" s="6" t="s">
        <v>110</v>
      </c>
      <c r="C23" s="6">
        <v>89</v>
      </c>
      <c r="D23" s="6">
        <v>69</v>
      </c>
      <c r="E23" s="6">
        <v>98</v>
      </c>
      <c r="F23" s="6">
        <v>66</v>
      </c>
      <c r="G23" s="6">
        <v>93</v>
      </c>
      <c r="H23" s="6">
        <v>62</v>
      </c>
      <c r="I23" s="6">
        <v>60</v>
      </c>
      <c r="J23" s="6">
        <v>96</v>
      </c>
      <c r="K23" s="13">
        <f t="shared" si="0"/>
        <v>79.125</v>
      </c>
      <c r="L23" s="6" t="str">
        <f t="shared" si="1"/>
        <v>Good</v>
      </c>
    </row>
    <row r="24" spans="1:12">
      <c r="A24" s="4" t="s">
        <v>209</v>
      </c>
      <c r="B24" s="4" t="s">
        <v>114</v>
      </c>
      <c r="C24" s="4">
        <v>63</v>
      </c>
      <c r="D24" s="4">
        <v>93</v>
      </c>
      <c r="E24" s="4">
        <v>53</v>
      </c>
      <c r="F24" s="4">
        <v>61</v>
      </c>
      <c r="G24" s="4">
        <v>57</v>
      </c>
      <c r="H24" s="4">
        <v>100</v>
      </c>
      <c r="I24" s="4">
        <v>92</v>
      </c>
      <c r="J24" s="4">
        <v>90</v>
      </c>
      <c r="K24" s="12">
        <f t="shared" si="0"/>
        <v>76.125</v>
      </c>
      <c r="L24" s="4" t="str">
        <f t="shared" si="1"/>
        <v>Good</v>
      </c>
    </row>
    <row r="25" spans="1:12">
      <c r="A25" s="6" t="s">
        <v>210</v>
      </c>
      <c r="B25" s="6" t="s">
        <v>118</v>
      </c>
      <c r="C25" s="6">
        <v>76</v>
      </c>
      <c r="D25" s="6">
        <v>50</v>
      </c>
      <c r="E25" s="6">
        <v>59</v>
      </c>
      <c r="F25" s="6">
        <v>89</v>
      </c>
      <c r="G25" s="6">
        <v>83</v>
      </c>
      <c r="H25" s="6">
        <v>80</v>
      </c>
      <c r="I25" s="6">
        <v>88</v>
      </c>
      <c r="J25" s="6">
        <v>85</v>
      </c>
      <c r="K25" s="13">
        <f t="shared" si="0"/>
        <v>76.25</v>
      </c>
      <c r="L25" s="6" t="str">
        <f t="shared" si="1"/>
        <v>Good</v>
      </c>
    </row>
    <row r="26" spans="1:12">
      <c r="A26" s="4" t="s">
        <v>211</v>
      </c>
      <c r="B26" s="4" t="s">
        <v>122</v>
      </c>
      <c r="C26" s="4">
        <v>60</v>
      </c>
      <c r="D26" s="4">
        <v>83</v>
      </c>
      <c r="E26" s="4">
        <v>77</v>
      </c>
      <c r="F26" s="4">
        <v>68</v>
      </c>
      <c r="G26" s="4">
        <v>50</v>
      </c>
      <c r="H26" s="4">
        <v>89</v>
      </c>
      <c r="I26" s="4">
        <v>51</v>
      </c>
      <c r="J26" s="4">
        <v>60</v>
      </c>
      <c r="K26" s="12">
        <f t="shared" si="0"/>
        <v>67.25</v>
      </c>
      <c r="L26" s="4" t="str">
        <f t="shared" si="1"/>
        <v>Good</v>
      </c>
    </row>
    <row r="27" spans="1:12">
      <c r="A27" s="6" t="s">
        <v>212</v>
      </c>
      <c r="B27" s="6" t="s">
        <v>126</v>
      </c>
      <c r="C27" s="6">
        <v>95</v>
      </c>
      <c r="D27" s="6">
        <v>100</v>
      </c>
      <c r="E27" s="6">
        <v>84</v>
      </c>
      <c r="F27" s="6">
        <v>53</v>
      </c>
      <c r="G27" s="6">
        <v>81</v>
      </c>
      <c r="H27" s="6">
        <v>71</v>
      </c>
      <c r="I27" s="6">
        <v>61</v>
      </c>
      <c r="J27" s="6">
        <v>56</v>
      </c>
      <c r="K27" s="13">
        <f t="shared" si="0"/>
        <v>75.125</v>
      </c>
      <c r="L27" s="6" t="str">
        <f t="shared" si="1"/>
        <v>Good</v>
      </c>
    </row>
    <row r="28" spans="1:12">
      <c r="A28" s="4" t="s">
        <v>213</v>
      </c>
      <c r="B28" s="4" t="s">
        <v>130</v>
      </c>
      <c r="C28" s="4">
        <v>61</v>
      </c>
      <c r="D28" s="4">
        <v>61</v>
      </c>
      <c r="E28" s="4">
        <v>64</v>
      </c>
      <c r="F28" s="4">
        <v>52</v>
      </c>
      <c r="G28" s="4">
        <v>90</v>
      </c>
      <c r="H28" s="4">
        <v>72</v>
      </c>
      <c r="I28" s="4">
        <v>68</v>
      </c>
      <c r="J28" s="4">
        <v>75</v>
      </c>
      <c r="K28" s="12">
        <f t="shared" si="0"/>
        <v>67.875</v>
      </c>
      <c r="L28" s="4" t="str">
        <f t="shared" si="1"/>
        <v>Good</v>
      </c>
    </row>
    <row r="29" spans="1:12">
      <c r="A29" s="6" t="s">
        <v>214</v>
      </c>
      <c r="B29" s="6" t="s">
        <v>134</v>
      </c>
      <c r="C29" s="6">
        <v>67</v>
      </c>
      <c r="D29" s="6">
        <v>68</v>
      </c>
      <c r="E29" s="6">
        <v>58</v>
      </c>
      <c r="F29" s="6">
        <v>68</v>
      </c>
      <c r="G29" s="6">
        <v>61</v>
      </c>
      <c r="H29" s="6">
        <v>50</v>
      </c>
      <c r="I29" s="6">
        <v>92</v>
      </c>
      <c r="J29" s="6">
        <v>85</v>
      </c>
      <c r="K29" s="13">
        <f t="shared" si="0"/>
        <v>68.625</v>
      </c>
      <c r="L29" s="6" t="str">
        <f t="shared" si="1"/>
        <v>Good</v>
      </c>
    </row>
    <row r="30" spans="1:12">
      <c r="A30" s="4" t="s">
        <v>215</v>
      </c>
      <c r="B30" s="4" t="s">
        <v>138</v>
      </c>
      <c r="C30" s="4">
        <v>94</v>
      </c>
      <c r="D30" s="4">
        <v>92</v>
      </c>
      <c r="E30" s="4">
        <v>58</v>
      </c>
      <c r="F30" s="4">
        <v>56</v>
      </c>
      <c r="G30" s="4">
        <v>63</v>
      </c>
      <c r="H30" s="4">
        <v>97</v>
      </c>
      <c r="I30" s="4">
        <v>91</v>
      </c>
      <c r="J30" s="4">
        <v>85</v>
      </c>
      <c r="K30" s="12">
        <f t="shared" si="0"/>
        <v>79.5</v>
      </c>
      <c r="L30" s="4" t="str">
        <f t="shared" si="1"/>
        <v>Good</v>
      </c>
    </row>
    <row r="31" spans="1:12">
      <c r="A31" s="6" t="s">
        <v>216</v>
      </c>
      <c r="B31" s="6" t="s">
        <v>142</v>
      </c>
      <c r="C31" s="6">
        <v>60</v>
      </c>
      <c r="D31" s="6">
        <v>73</v>
      </c>
      <c r="E31" s="6">
        <v>73</v>
      </c>
      <c r="F31" s="6">
        <v>87</v>
      </c>
      <c r="G31" s="6">
        <v>74</v>
      </c>
      <c r="H31" s="6">
        <v>96</v>
      </c>
      <c r="I31" s="6">
        <v>54</v>
      </c>
      <c r="J31" s="6">
        <v>83</v>
      </c>
      <c r="K31" s="13">
        <f t="shared" si="0"/>
        <v>75</v>
      </c>
      <c r="L31" s="6" t="str">
        <f t="shared" si="1"/>
        <v>Good</v>
      </c>
    </row>
    <row r="32" spans="1:12">
      <c r="A32" s="4" t="s">
        <v>217</v>
      </c>
      <c r="B32" s="4" t="s">
        <v>146</v>
      </c>
      <c r="C32" s="4">
        <v>93</v>
      </c>
      <c r="D32" s="4">
        <v>100</v>
      </c>
      <c r="E32" s="4">
        <v>77</v>
      </c>
      <c r="F32" s="4">
        <v>74</v>
      </c>
      <c r="G32" s="4">
        <v>87</v>
      </c>
      <c r="H32" s="4">
        <v>58</v>
      </c>
      <c r="I32" s="4">
        <v>78</v>
      </c>
      <c r="J32" s="4">
        <v>91</v>
      </c>
      <c r="K32" s="12">
        <f t="shared" si="0"/>
        <v>82.25</v>
      </c>
      <c r="L32" s="4" t="str">
        <f t="shared" si="1"/>
        <v>Excellent</v>
      </c>
    </row>
    <row r="33" spans="1:12">
      <c r="A33" s="6" t="s">
        <v>218</v>
      </c>
      <c r="B33" s="6" t="s">
        <v>150</v>
      </c>
      <c r="C33" s="6">
        <v>74</v>
      </c>
      <c r="D33" s="6">
        <v>92</v>
      </c>
      <c r="E33" s="6">
        <v>87</v>
      </c>
      <c r="F33" s="6">
        <v>100</v>
      </c>
      <c r="G33" s="6">
        <v>87</v>
      </c>
      <c r="H33" s="6">
        <v>70</v>
      </c>
      <c r="I33" s="6">
        <v>61</v>
      </c>
      <c r="J33" s="6">
        <v>61</v>
      </c>
      <c r="K33" s="13">
        <f t="shared" si="0"/>
        <v>79</v>
      </c>
      <c r="L33" s="6" t="str">
        <f t="shared" si="1"/>
        <v>Good</v>
      </c>
    </row>
  </sheetData>
  <autoFilter ref="A3:L34" xr:uid="{00000000-0009-0000-0000-000003000000}"/>
  <mergeCells count="2">
    <mergeCell ref="A1:L1"/>
    <mergeCell ref="A2:L2"/>
  </mergeCells>
  <conditionalFormatting sqref="C4:J34">
    <cfRule type="colorScale" priority="5">
      <colorScale>
        <cfvo type="num" val="0"/>
        <cfvo type="num" val="65"/>
        <cfvo type="num" val="100"/>
        <color rgb="FFE74C3C"/>
        <color rgb="FFF39C12"/>
        <color rgb="FF27AE60"/>
      </colorScale>
    </cfRule>
  </conditionalFormatting>
  <conditionalFormatting sqref="L4:L34">
    <cfRule type="cellIs" dxfId="2" priority="2" operator="equal">
      <formula>"Excellent"</formula>
    </cfRule>
    <cfRule type="cellIs" dxfId="1" priority="3" operator="equal">
      <formula>"Good"</formula>
    </cfRule>
    <cfRule type="cellIs" dxfId="0" priority="4" operator="equal">
      <formula>"Needs Improvement"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tabSelected="1" zoomScaleNormal="100" workbookViewId="0">
      <pane ySplit="3" topLeftCell="A4" activePane="bottomLeft" state="frozen"/>
      <selection pane="bottomLeft" activeCell="A14" sqref="A14"/>
    </sheetView>
  </sheetViews>
  <sheetFormatPr defaultColWidth="8.6640625" defaultRowHeight="14.4"/>
  <cols>
    <col min="1" max="1" width="29.109375" customWidth="1"/>
    <col min="2" max="2" width="13" style="79" customWidth="1"/>
    <col min="3" max="3" width="18" customWidth="1"/>
    <col min="4" max="4" width="30" customWidth="1"/>
    <col min="5" max="5" width="15" customWidth="1"/>
    <col min="6" max="6" width="40" customWidth="1"/>
    <col min="7" max="7" width="41.5546875" customWidth="1"/>
    <col min="8" max="9" width="15" customWidth="1"/>
    <col min="10" max="10" width="18" customWidth="1"/>
  </cols>
  <sheetData>
    <row r="1" spans="1:10" ht="45" customHeight="1">
      <c r="A1" s="45" t="s">
        <v>219</v>
      </c>
      <c r="B1" s="45"/>
      <c r="C1" s="45"/>
      <c r="D1" s="45"/>
      <c r="E1" s="45"/>
      <c r="F1" s="45"/>
      <c r="G1" s="45"/>
      <c r="H1" s="45"/>
      <c r="I1" s="45"/>
      <c r="J1" s="45"/>
    </row>
    <row r="2" spans="1:10" ht="21.75" customHeight="1">
      <c r="A2" s="46" t="s">
        <v>220</v>
      </c>
      <c r="B2" s="46"/>
      <c r="C2" s="46"/>
      <c r="D2" s="46"/>
      <c r="E2" s="46"/>
      <c r="F2" s="46"/>
      <c r="G2" s="46"/>
      <c r="H2" s="46"/>
      <c r="I2" s="46"/>
      <c r="J2" s="46"/>
    </row>
    <row r="3" spans="1:10" ht="30" customHeight="1">
      <c r="A3" s="1" t="s">
        <v>221</v>
      </c>
      <c r="B3" s="78" t="s">
        <v>8</v>
      </c>
      <c r="C3" s="1" t="s">
        <v>222</v>
      </c>
      <c r="D3" s="1" t="s">
        <v>5</v>
      </c>
      <c r="E3" s="1" t="s">
        <v>223</v>
      </c>
      <c r="F3" s="1" t="s">
        <v>224</v>
      </c>
      <c r="G3" s="1" t="s">
        <v>225</v>
      </c>
      <c r="H3" s="1" t="s">
        <v>226</v>
      </c>
      <c r="I3" s="1" t="s">
        <v>227</v>
      </c>
      <c r="J3" s="1" t="s">
        <v>156</v>
      </c>
    </row>
    <row r="4" spans="1:10">
      <c r="A4" s="14" t="s">
        <v>228</v>
      </c>
      <c r="B4" s="36" t="s">
        <v>52</v>
      </c>
      <c r="C4" s="14" t="s">
        <v>229</v>
      </c>
      <c r="D4" s="14" t="s">
        <v>230</v>
      </c>
      <c r="E4" s="14">
        <v>9876543210</v>
      </c>
      <c r="F4" s="14" t="s">
        <v>231</v>
      </c>
      <c r="G4" s="14" t="s">
        <v>232</v>
      </c>
      <c r="H4" s="15" t="s">
        <v>233</v>
      </c>
      <c r="I4" s="31">
        <v>46300</v>
      </c>
      <c r="J4" s="15" t="s">
        <v>234</v>
      </c>
    </row>
    <row r="5" spans="1:10" ht="27.6" customHeight="1">
      <c r="A5" s="28" t="s">
        <v>473</v>
      </c>
      <c r="B5" s="29" t="s">
        <v>52</v>
      </c>
      <c r="C5" s="16"/>
      <c r="D5" s="16"/>
      <c r="E5" s="27">
        <v>7395996779</v>
      </c>
      <c r="F5" s="16"/>
      <c r="G5" s="30" t="s">
        <v>474</v>
      </c>
      <c r="H5" s="27" t="s">
        <v>475</v>
      </c>
      <c r="I5" s="32">
        <v>46240</v>
      </c>
      <c r="J5" s="29" t="s">
        <v>476</v>
      </c>
    </row>
    <row r="6" spans="1:10">
      <c r="A6" s="35" t="s">
        <v>477</v>
      </c>
      <c r="B6" s="33" t="s">
        <v>478</v>
      </c>
      <c r="C6" s="14"/>
      <c r="D6" s="14"/>
      <c r="E6" s="14"/>
      <c r="F6" s="14"/>
      <c r="G6" s="34" t="s">
        <v>479</v>
      </c>
      <c r="H6" s="36" t="s">
        <v>483</v>
      </c>
      <c r="I6" s="38">
        <v>46240</v>
      </c>
      <c r="J6" s="36" t="s">
        <v>481</v>
      </c>
    </row>
    <row r="7" spans="1:10">
      <c r="A7" s="17" t="s">
        <v>477</v>
      </c>
      <c r="B7" s="37" t="s">
        <v>478</v>
      </c>
      <c r="C7" s="17"/>
      <c r="D7" s="17"/>
      <c r="E7" s="17"/>
      <c r="F7" s="17"/>
      <c r="G7" s="34" t="s">
        <v>480</v>
      </c>
      <c r="H7" s="17"/>
      <c r="I7" s="39">
        <v>46240</v>
      </c>
      <c r="J7" s="37" t="s">
        <v>482</v>
      </c>
    </row>
    <row r="8" spans="1:10">
      <c r="A8" s="40" t="s">
        <v>485</v>
      </c>
      <c r="B8" s="33" t="s">
        <v>486</v>
      </c>
      <c r="C8" s="14"/>
      <c r="D8" s="28" t="s">
        <v>487</v>
      </c>
      <c r="E8" s="14"/>
      <c r="F8" s="14" t="s">
        <v>484</v>
      </c>
      <c r="G8" s="36" t="s">
        <v>489</v>
      </c>
      <c r="H8" s="14"/>
      <c r="I8" s="14"/>
      <c r="J8" s="36" t="s">
        <v>497</v>
      </c>
    </row>
    <row r="9" spans="1:10">
      <c r="A9" s="41" t="s">
        <v>490</v>
      </c>
      <c r="B9" s="41"/>
      <c r="C9" s="18"/>
      <c r="D9" s="28"/>
      <c r="E9" s="18"/>
      <c r="F9" s="18" t="s">
        <v>488</v>
      </c>
      <c r="G9" s="18" t="s">
        <v>489</v>
      </c>
      <c r="H9" s="18"/>
      <c r="I9" s="18"/>
      <c r="J9" s="18" t="s">
        <v>497</v>
      </c>
    </row>
    <row r="10" spans="1:10">
      <c r="A10" s="28" t="s">
        <v>491</v>
      </c>
      <c r="B10" s="29" t="s">
        <v>52</v>
      </c>
      <c r="C10" s="16"/>
      <c r="D10" s="28" t="s">
        <v>493</v>
      </c>
      <c r="E10" s="16"/>
      <c r="F10" s="42" t="s">
        <v>492</v>
      </c>
      <c r="G10" s="44" t="s">
        <v>495</v>
      </c>
      <c r="H10" s="43" t="s">
        <v>494</v>
      </c>
      <c r="I10" s="16"/>
      <c r="J10" s="29" t="s">
        <v>496</v>
      </c>
    </row>
    <row r="11" spans="1:10">
      <c r="A11" s="14"/>
      <c r="B11" s="36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36"/>
      <c r="C12" s="14"/>
      <c r="D12" s="14"/>
      <c r="E12" s="14"/>
      <c r="F12" s="14"/>
      <c r="G12" s="14"/>
      <c r="H12" s="14"/>
      <c r="I12" s="14"/>
      <c r="J12" s="14"/>
    </row>
    <row r="13" spans="1:10">
      <c r="A13" s="18"/>
      <c r="B13" s="41"/>
      <c r="C13" s="18"/>
      <c r="D13" s="18"/>
      <c r="E13" s="18"/>
      <c r="F13" s="18"/>
      <c r="G13" s="18"/>
      <c r="H13" s="18"/>
      <c r="I13" s="18"/>
      <c r="J13" s="18"/>
    </row>
    <row r="14" spans="1:10" ht="15">
      <c r="A14" s="14" t="s">
        <v>498</v>
      </c>
      <c r="B14" s="36" t="s">
        <v>52</v>
      </c>
      <c r="C14" s="14"/>
      <c r="D14" s="14"/>
      <c r="E14" s="14"/>
      <c r="F14" s="14"/>
      <c r="G14" s="77" t="s">
        <v>499</v>
      </c>
      <c r="H14" s="14"/>
      <c r="I14" s="14"/>
      <c r="J14" s="14"/>
    </row>
    <row r="15" spans="1:10" ht="60">
      <c r="A15" s="80" t="s">
        <v>500</v>
      </c>
      <c r="B15" s="29" t="s">
        <v>52</v>
      </c>
      <c r="C15" s="16"/>
      <c r="D15" s="16"/>
      <c r="E15" s="16"/>
      <c r="F15" s="16"/>
      <c r="G15" s="81" t="s">
        <v>501</v>
      </c>
      <c r="H15" s="16"/>
      <c r="I15" s="16"/>
      <c r="J15" s="16"/>
    </row>
    <row r="16" spans="1:10" ht="15">
      <c r="A16" s="37" t="s">
        <v>502</v>
      </c>
      <c r="B16" s="37" t="s">
        <v>503</v>
      </c>
      <c r="C16" s="17"/>
      <c r="D16" s="17"/>
      <c r="E16" s="17"/>
      <c r="F16" s="17"/>
      <c r="G16" s="82" t="s">
        <v>504</v>
      </c>
      <c r="H16" s="17"/>
      <c r="I16" s="17"/>
      <c r="J16" s="17"/>
    </row>
    <row r="17" spans="1:10">
      <c r="A17" s="36" t="s">
        <v>505</v>
      </c>
      <c r="B17" s="36"/>
      <c r="C17" s="14"/>
      <c r="D17" s="14"/>
      <c r="E17" s="14"/>
      <c r="F17" s="14"/>
      <c r="G17" s="14"/>
      <c r="H17" s="14"/>
      <c r="I17" s="14"/>
      <c r="J17" s="14"/>
    </row>
    <row r="18" spans="1:10">
      <c r="A18" s="18" t="s">
        <v>506</v>
      </c>
      <c r="B18" s="41"/>
      <c r="C18" s="18"/>
      <c r="D18" s="18"/>
      <c r="E18" s="18"/>
      <c r="F18" s="18"/>
      <c r="G18" s="18"/>
      <c r="H18" s="18"/>
      <c r="I18" s="18"/>
      <c r="J18" s="18"/>
    </row>
  </sheetData>
  <autoFilter ref="A3:J18" xr:uid="{00000000-0009-0000-0000-000004000000}"/>
  <mergeCells count="2">
    <mergeCell ref="A1:J1"/>
    <mergeCell ref="A2:J2"/>
  </mergeCells>
  <dataValidations count="1">
    <dataValidation type="list" allowBlank="1" sqref="J4 J20:J100" xr:uid="{00000000-0002-0000-0400-000000000000}">
      <formula1>"Not Contacted,Contacted,Follow Up,Interview Scheduled,Hired"</formula1>
      <formula2>0</formula2>
    </dataValidation>
  </dataValidations>
  <hyperlinks>
    <hyperlink ref="A5" r:id="rId1" tooltip="SASTI GROUP OF COMPANIES Careers" display="https://www.naukri.com/smartronic-technical-solution-chennai-jobs-careers-5355130?src=jddesktop" xr:uid="{C8F5D732-890B-4AD3-B266-55B5AEDB11FB}"/>
    <hyperlink ref="D8" r:id="rId2" display="mailto:career@clinchedge.com" xr:uid="{AE20F363-823B-40D3-ADC3-D62644DB25F3}"/>
    <hyperlink ref="A10" r:id="rId3" display="https://rytsensetech.com/" xr:uid="{09EBE61D-D0B3-4BB8-B4A7-DAF65E23395C}"/>
    <hyperlink ref="F10" r:id="rId4" xr:uid="{E70A4C10-5714-41F7-94AC-C1D169E68B96}"/>
    <hyperlink ref="D10" r:id="rId5" display="mailto:careers@rytsensetech.com" xr:uid="{02A59629-A7F3-4678-80D7-F35841C3E314}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7"/>
  <sheetViews>
    <sheetView zoomScaleNormal="100" workbookViewId="0">
      <pane ySplit="3" topLeftCell="A4" activePane="bottomLeft" state="frozen"/>
      <selection pane="bottomLeft" activeCell="L123" sqref="L123"/>
    </sheetView>
  </sheetViews>
  <sheetFormatPr defaultColWidth="8.6640625" defaultRowHeight="14.4"/>
  <cols>
    <col min="1" max="1" width="22" customWidth="1"/>
    <col min="2" max="2" width="20" customWidth="1"/>
    <col min="3" max="3" width="14" customWidth="1"/>
    <col min="4" max="4" width="22" customWidth="1"/>
    <col min="5" max="5" width="20" customWidth="1"/>
    <col min="6" max="8" width="14" customWidth="1"/>
  </cols>
  <sheetData>
    <row r="1" spans="1:8" ht="45" customHeight="1">
      <c r="A1" s="45" t="s">
        <v>250</v>
      </c>
      <c r="B1" s="45"/>
      <c r="C1" s="45"/>
      <c r="D1" s="45"/>
      <c r="E1" s="45"/>
      <c r="F1" s="45"/>
      <c r="G1" s="45"/>
      <c r="H1" s="45"/>
    </row>
    <row r="2" spans="1:8" ht="21.75" customHeight="1">
      <c r="A2" s="46" t="s">
        <v>251</v>
      </c>
      <c r="B2" s="46"/>
      <c r="C2" s="46"/>
      <c r="D2" s="46"/>
      <c r="E2" s="46"/>
      <c r="F2" s="46"/>
      <c r="G2" s="46"/>
      <c r="H2" s="46"/>
    </row>
    <row r="3" spans="1:8" ht="30" customHeight="1">
      <c r="A3" s="1" t="s">
        <v>3</v>
      </c>
      <c r="B3" s="1" t="s">
        <v>221</v>
      </c>
      <c r="C3" s="1" t="s">
        <v>252</v>
      </c>
      <c r="D3" s="1" t="s">
        <v>253</v>
      </c>
      <c r="E3" s="1" t="s">
        <v>254</v>
      </c>
      <c r="F3" s="1" t="s">
        <v>255</v>
      </c>
      <c r="G3" s="1" t="s">
        <v>256</v>
      </c>
      <c r="H3" s="1" t="s">
        <v>257</v>
      </c>
    </row>
    <row r="4" spans="1:8">
      <c r="A4" s="3" t="s">
        <v>23</v>
      </c>
      <c r="B4" s="3" t="s">
        <v>239</v>
      </c>
      <c r="C4" s="6" t="s">
        <v>258</v>
      </c>
      <c r="D4" s="3" t="s">
        <v>259</v>
      </c>
      <c r="E4" s="6" t="s">
        <v>260</v>
      </c>
      <c r="F4" s="6" t="s">
        <v>261</v>
      </c>
      <c r="G4" s="6" t="s">
        <v>262</v>
      </c>
      <c r="H4" s="6" t="s">
        <v>263</v>
      </c>
    </row>
    <row r="5" spans="1:8">
      <c r="A5" s="14" t="s">
        <v>23</v>
      </c>
      <c r="B5" s="14" t="s">
        <v>228</v>
      </c>
      <c r="C5" s="15" t="s">
        <v>264</v>
      </c>
      <c r="D5" s="14" t="s">
        <v>259</v>
      </c>
      <c r="E5" s="15" t="s">
        <v>265</v>
      </c>
      <c r="F5" s="15" t="s">
        <v>266</v>
      </c>
      <c r="G5" s="15" t="s">
        <v>267</v>
      </c>
      <c r="H5" s="15" t="s">
        <v>268</v>
      </c>
    </row>
    <row r="6" spans="1:8">
      <c r="A6" s="16" t="s">
        <v>23</v>
      </c>
      <c r="B6" s="16" t="s">
        <v>243</v>
      </c>
      <c r="C6" s="11" t="s">
        <v>258</v>
      </c>
      <c r="D6" s="16" t="s">
        <v>259</v>
      </c>
      <c r="E6" s="11" t="s">
        <v>237</v>
      </c>
      <c r="F6" s="11" t="s">
        <v>269</v>
      </c>
      <c r="G6" s="11" t="s">
        <v>270</v>
      </c>
      <c r="H6" s="11" t="s">
        <v>271</v>
      </c>
    </row>
    <row r="7" spans="1:8">
      <c r="A7" s="18" t="s">
        <v>32</v>
      </c>
      <c r="B7" s="18" t="s">
        <v>238</v>
      </c>
      <c r="C7" s="7" t="s">
        <v>264</v>
      </c>
      <c r="D7" s="18" t="s">
        <v>259</v>
      </c>
      <c r="E7" s="7" t="s">
        <v>271</v>
      </c>
      <c r="F7" s="7" t="s">
        <v>272</v>
      </c>
      <c r="G7" s="7" t="s">
        <v>262</v>
      </c>
      <c r="H7" s="7" t="s">
        <v>268</v>
      </c>
    </row>
    <row r="8" spans="1:8">
      <c r="A8" s="14" t="s">
        <v>32</v>
      </c>
      <c r="B8" s="14" t="s">
        <v>244</v>
      </c>
      <c r="C8" s="15" t="s">
        <v>178</v>
      </c>
      <c r="D8" s="14" t="s">
        <v>259</v>
      </c>
      <c r="E8" s="15" t="s">
        <v>265</v>
      </c>
      <c r="F8" s="15" t="s">
        <v>273</v>
      </c>
      <c r="G8" s="15" t="s">
        <v>270</v>
      </c>
      <c r="H8" s="15" t="s">
        <v>263</v>
      </c>
    </row>
    <row r="9" spans="1:8">
      <c r="A9" s="16" t="s">
        <v>32</v>
      </c>
      <c r="B9" s="16" t="s">
        <v>235</v>
      </c>
      <c r="C9" s="11" t="s">
        <v>274</v>
      </c>
      <c r="D9" s="16" t="s">
        <v>259</v>
      </c>
      <c r="E9" s="11" t="s">
        <v>237</v>
      </c>
      <c r="F9" s="11" t="s">
        <v>275</v>
      </c>
      <c r="G9" s="11" t="s">
        <v>270</v>
      </c>
      <c r="H9" s="11" t="s">
        <v>263</v>
      </c>
    </row>
    <row r="10" spans="1:8">
      <c r="A10" s="16" t="s">
        <v>38</v>
      </c>
      <c r="B10" s="16" t="s">
        <v>243</v>
      </c>
      <c r="C10" s="11" t="s">
        <v>276</v>
      </c>
      <c r="D10" s="16" t="s">
        <v>259</v>
      </c>
      <c r="E10" s="11" t="s">
        <v>237</v>
      </c>
      <c r="F10" s="11" t="s">
        <v>277</v>
      </c>
      <c r="G10" s="11" t="s">
        <v>278</v>
      </c>
      <c r="H10" s="11" t="s">
        <v>263</v>
      </c>
    </row>
    <row r="11" spans="1:8">
      <c r="A11" s="16" t="s">
        <v>38</v>
      </c>
      <c r="B11" s="16" t="s">
        <v>249</v>
      </c>
      <c r="C11" s="11" t="s">
        <v>216</v>
      </c>
      <c r="D11" s="16" t="s">
        <v>259</v>
      </c>
      <c r="E11" s="11" t="s">
        <v>237</v>
      </c>
      <c r="F11" s="11" t="s">
        <v>275</v>
      </c>
      <c r="G11" s="11" t="s">
        <v>262</v>
      </c>
      <c r="H11" s="11" t="s">
        <v>268</v>
      </c>
    </row>
    <row r="12" spans="1:8">
      <c r="A12" s="3" t="s">
        <v>38</v>
      </c>
      <c r="B12" s="3" t="s">
        <v>245</v>
      </c>
      <c r="C12" s="6" t="s">
        <v>211</v>
      </c>
      <c r="D12" s="3" t="s">
        <v>259</v>
      </c>
      <c r="E12" s="6" t="s">
        <v>260</v>
      </c>
      <c r="F12" s="6" t="s">
        <v>275</v>
      </c>
      <c r="G12" s="6" t="s">
        <v>270</v>
      </c>
      <c r="H12" s="6" t="s">
        <v>279</v>
      </c>
    </row>
    <row r="13" spans="1:8">
      <c r="A13" s="17" t="s">
        <v>38</v>
      </c>
      <c r="B13" s="17" t="s">
        <v>240</v>
      </c>
      <c r="C13" s="5" t="s">
        <v>280</v>
      </c>
      <c r="D13" s="17" t="s">
        <v>259</v>
      </c>
      <c r="E13" s="5" t="s">
        <v>268</v>
      </c>
      <c r="F13" s="5" t="s">
        <v>281</v>
      </c>
      <c r="G13" s="5" t="s">
        <v>262</v>
      </c>
      <c r="H13" s="5" t="s">
        <v>263</v>
      </c>
    </row>
    <row r="14" spans="1:8">
      <c r="A14" s="18" t="s">
        <v>44</v>
      </c>
      <c r="B14" s="18" t="s">
        <v>238</v>
      </c>
      <c r="C14" s="7" t="s">
        <v>282</v>
      </c>
      <c r="D14" s="18" t="s">
        <v>259</v>
      </c>
      <c r="E14" s="7" t="s">
        <v>271</v>
      </c>
      <c r="F14" s="7" t="s">
        <v>283</v>
      </c>
      <c r="G14" s="7" t="s">
        <v>278</v>
      </c>
      <c r="H14" s="7" t="s">
        <v>279</v>
      </c>
    </row>
    <row r="15" spans="1:8">
      <c r="A15" s="14" t="s">
        <v>44</v>
      </c>
      <c r="B15" s="14" t="s">
        <v>247</v>
      </c>
      <c r="C15" s="15" t="s">
        <v>284</v>
      </c>
      <c r="D15" s="14" t="s">
        <v>259</v>
      </c>
      <c r="E15" s="15" t="s">
        <v>265</v>
      </c>
      <c r="F15" s="15" t="s">
        <v>285</v>
      </c>
      <c r="G15" s="15" t="s">
        <v>278</v>
      </c>
      <c r="H15" s="15" t="s">
        <v>279</v>
      </c>
    </row>
    <row r="16" spans="1:8">
      <c r="A16" s="3" t="s">
        <v>49</v>
      </c>
      <c r="B16" s="3" t="s">
        <v>241</v>
      </c>
      <c r="C16" s="6" t="s">
        <v>286</v>
      </c>
      <c r="D16" s="3" t="s">
        <v>259</v>
      </c>
      <c r="E16" s="6" t="s">
        <v>260</v>
      </c>
      <c r="F16" s="6" t="s">
        <v>287</v>
      </c>
      <c r="G16" s="6" t="s">
        <v>270</v>
      </c>
      <c r="H16" s="6" t="s">
        <v>268</v>
      </c>
    </row>
    <row r="17" spans="1:8">
      <c r="A17" s="16" t="s">
        <v>49</v>
      </c>
      <c r="B17" s="16" t="s">
        <v>228</v>
      </c>
      <c r="C17" s="11" t="s">
        <v>288</v>
      </c>
      <c r="D17" s="16" t="s">
        <v>259</v>
      </c>
      <c r="E17" s="11" t="s">
        <v>237</v>
      </c>
      <c r="F17" s="11" t="s">
        <v>281</v>
      </c>
      <c r="G17" s="11" t="s">
        <v>267</v>
      </c>
      <c r="H17" s="11" t="s">
        <v>271</v>
      </c>
    </row>
    <row r="18" spans="1:8">
      <c r="A18" s="3" t="s">
        <v>49</v>
      </c>
      <c r="B18" s="3" t="s">
        <v>238</v>
      </c>
      <c r="C18" s="6" t="s">
        <v>289</v>
      </c>
      <c r="D18" s="3" t="s">
        <v>259</v>
      </c>
      <c r="E18" s="6" t="s">
        <v>260</v>
      </c>
      <c r="F18" s="6" t="s">
        <v>290</v>
      </c>
      <c r="G18" s="6" t="s">
        <v>262</v>
      </c>
      <c r="H18" s="6" t="s">
        <v>279</v>
      </c>
    </row>
    <row r="19" spans="1:8">
      <c r="A19" s="18" t="s">
        <v>49</v>
      </c>
      <c r="B19" s="18" t="s">
        <v>242</v>
      </c>
      <c r="C19" s="7" t="s">
        <v>291</v>
      </c>
      <c r="D19" s="18" t="s">
        <v>259</v>
      </c>
      <c r="E19" s="7" t="s">
        <v>271</v>
      </c>
      <c r="F19" s="7" t="s">
        <v>277</v>
      </c>
      <c r="G19" s="7" t="s">
        <v>278</v>
      </c>
      <c r="H19" s="7" t="s">
        <v>271</v>
      </c>
    </row>
    <row r="20" spans="1:8">
      <c r="A20" s="17" t="s">
        <v>49</v>
      </c>
      <c r="B20" s="17" t="s">
        <v>242</v>
      </c>
      <c r="C20" s="5" t="s">
        <v>208</v>
      </c>
      <c r="D20" s="17" t="s">
        <v>259</v>
      </c>
      <c r="E20" s="5" t="s">
        <v>268</v>
      </c>
      <c r="F20" s="5" t="s">
        <v>292</v>
      </c>
      <c r="G20" s="5" t="s">
        <v>270</v>
      </c>
      <c r="H20" s="5" t="s">
        <v>271</v>
      </c>
    </row>
    <row r="21" spans="1:8">
      <c r="A21" s="3" t="s">
        <v>54</v>
      </c>
      <c r="B21" s="3" t="s">
        <v>241</v>
      </c>
      <c r="C21" s="6" t="s">
        <v>176</v>
      </c>
      <c r="D21" s="3" t="s">
        <v>259</v>
      </c>
      <c r="E21" s="6" t="s">
        <v>260</v>
      </c>
      <c r="F21" s="6" t="s">
        <v>272</v>
      </c>
      <c r="G21" s="6" t="s">
        <v>278</v>
      </c>
      <c r="H21" s="6" t="s">
        <v>271</v>
      </c>
    </row>
    <row r="22" spans="1:8">
      <c r="A22" s="3" t="s">
        <v>54</v>
      </c>
      <c r="B22" s="3" t="s">
        <v>244</v>
      </c>
      <c r="C22" s="6" t="s">
        <v>293</v>
      </c>
      <c r="D22" s="3" t="s">
        <v>259</v>
      </c>
      <c r="E22" s="6" t="s">
        <v>260</v>
      </c>
      <c r="F22" s="6" t="s">
        <v>272</v>
      </c>
      <c r="G22" s="6" t="s">
        <v>267</v>
      </c>
      <c r="H22" s="6" t="s">
        <v>263</v>
      </c>
    </row>
    <row r="23" spans="1:8">
      <c r="A23" s="14" t="s">
        <v>58</v>
      </c>
      <c r="B23" s="14" t="s">
        <v>248</v>
      </c>
      <c r="C23" s="15" t="s">
        <v>294</v>
      </c>
      <c r="D23" s="14" t="s">
        <v>259</v>
      </c>
      <c r="E23" s="15" t="s">
        <v>265</v>
      </c>
      <c r="F23" s="15" t="s">
        <v>290</v>
      </c>
      <c r="G23" s="15" t="s">
        <v>270</v>
      </c>
      <c r="H23" s="15" t="s">
        <v>279</v>
      </c>
    </row>
    <row r="24" spans="1:8">
      <c r="A24" s="14" t="s">
        <v>58</v>
      </c>
      <c r="B24" s="14" t="s">
        <v>238</v>
      </c>
      <c r="C24" s="15" t="s">
        <v>295</v>
      </c>
      <c r="D24" s="14" t="s">
        <v>259</v>
      </c>
      <c r="E24" s="15" t="s">
        <v>265</v>
      </c>
      <c r="F24" s="15" t="s">
        <v>264</v>
      </c>
      <c r="G24" s="15" t="s">
        <v>267</v>
      </c>
      <c r="H24" s="15" t="s">
        <v>268</v>
      </c>
    </row>
    <row r="25" spans="1:8">
      <c r="A25" s="18" t="s">
        <v>62</v>
      </c>
      <c r="B25" s="18" t="s">
        <v>238</v>
      </c>
      <c r="C25" s="7" t="s">
        <v>282</v>
      </c>
      <c r="D25" s="18" t="s">
        <v>259</v>
      </c>
      <c r="E25" s="7" t="s">
        <v>271</v>
      </c>
      <c r="F25" s="7" t="s">
        <v>272</v>
      </c>
      <c r="G25" s="7" t="s">
        <v>270</v>
      </c>
      <c r="H25" s="7" t="s">
        <v>279</v>
      </c>
    </row>
    <row r="26" spans="1:8">
      <c r="A26" s="17" t="s">
        <v>62</v>
      </c>
      <c r="B26" s="17" t="s">
        <v>244</v>
      </c>
      <c r="C26" s="5" t="s">
        <v>264</v>
      </c>
      <c r="D26" s="17" t="s">
        <v>259</v>
      </c>
      <c r="E26" s="5" t="s">
        <v>268</v>
      </c>
      <c r="F26" s="5" t="s">
        <v>269</v>
      </c>
      <c r="G26" s="5" t="s">
        <v>262</v>
      </c>
      <c r="H26" s="5" t="s">
        <v>268</v>
      </c>
    </row>
    <row r="27" spans="1:8">
      <c r="A27" s="18" t="s">
        <v>62</v>
      </c>
      <c r="B27" s="18" t="s">
        <v>247</v>
      </c>
      <c r="C27" s="7" t="s">
        <v>296</v>
      </c>
      <c r="D27" s="18" t="s">
        <v>259</v>
      </c>
      <c r="E27" s="7" t="s">
        <v>271</v>
      </c>
      <c r="F27" s="7" t="s">
        <v>287</v>
      </c>
      <c r="G27" s="7" t="s">
        <v>262</v>
      </c>
      <c r="H27" s="7" t="s">
        <v>279</v>
      </c>
    </row>
    <row r="28" spans="1:8">
      <c r="A28" s="3" t="s">
        <v>66</v>
      </c>
      <c r="B28" s="3" t="s">
        <v>241</v>
      </c>
      <c r="C28" s="6" t="s">
        <v>179</v>
      </c>
      <c r="D28" s="3" t="s">
        <v>259</v>
      </c>
      <c r="E28" s="6" t="s">
        <v>260</v>
      </c>
      <c r="F28" s="6" t="s">
        <v>297</v>
      </c>
      <c r="G28" s="6" t="s">
        <v>278</v>
      </c>
      <c r="H28" s="6" t="s">
        <v>271</v>
      </c>
    </row>
    <row r="29" spans="1:8">
      <c r="A29" s="16" t="s">
        <v>66</v>
      </c>
      <c r="B29" s="16" t="s">
        <v>249</v>
      </c>
      <c r="C29" s="11" t="s">
        <v>298</v>
      </c>
      <c r="D29" s="16" t="s">
        <v>259</v>
      </c>
      <c r="E29" s="11" t="s">
        <v>237</v>
      </c>
      <c r="F29" s="11" t="s">
        <v>299</v>
      </c>
      <c r="G29" s="11" t="s">
        <v>267</v>
      </c>
      <c r="H29" s="11" t="s">
        <v>268</v>
      </c>
    </row>
    <row r="30" spans="1:8">
      <c r="A30" s="17" t="s">
        <v>66</v>
      </c>
      <c r="B30" s="17" t="s">
        <v>236</v>
      </c>
      <c r="C30" s="5" t="s">
        <v>178</v>
      </c>
      <c r="D30" s="17" t="s">
        <v>259</v>
      </c>
      <c r="E30" s="5" t="s">
        <v>268</v>
      </c>
      <c r="F30" s="5" t="s">
        <v>300</v>
      </c>
      <c r="G30" s="5" t="s">
        <v>278</v>
      </c>
      <c r="H30" s="5" t="s">
        <v>263</v>
      </c>
    </row>
    <row r="31" spans="1:8">
      <c r="A31" s="14" t="s">
        <v>66</v>
      </c>
      <c r="B31" s="14" t="s">
        <v>247</v>
      </c>
      <c r="C31" s="15" t="s">
        <v>301</v>
      </c>
      <c r="D31" s="14" t="s">
        <v>259</v>
      </c>
      <c r="E31" s="15" t="s">
        <v>265</v>
      </c>
      <c r="F31" s="15" t="s">
        <v>302</v>
      </c>
      <c r="G31" s="15" t="s">
        <v>262</v>
      </c>
      <c r="H31" s="15" t="s">
        <v>279</v>
      </c>
    </row>
    <row r="32" spans="1:8">
      <c r="A32" s="3" t="s">
        <v>70</v>
      </c>
      <c r="B32" s="3" t="s">
        <v>236</v>
      </c>
      <c r="C32" s="6" t="s">
        <v>289</v>
      </c>
      <c r="D32" s="3" t="s">
        <v>259</v>
      </c>
      <c r="E32" s="6" t="s">
        <v>260</v>
      </c>
      <c r="F32" s="6" t="s">
        <v>290</v>
      </c>
      <c r="G32" s="6" t="s">
        <v>278</v>
      </c>
      <c r="H32" s="6" t="s">
        <v>279</v>
      </c>
    </row>
    <row r="33" spans="1:8">
      <c r="A33" s="3" t="s">
        <v>70</v>
      </c>
      <c r="B33" s="3" t="s">
        <v>248</v>
      </c>
      <c r="C33" s="6" t="s">
        <v>303</v>
      </c>
      <c r="D33" s="3" t="s">
        <v>259</v>
      </c>
      <c r="E33" s="6" t="s">
        <v>260</v>
      </c>
      <c r="F33" s="6" t="s">
        <v>304</v>
      </c>
      <c r="G33" s="6" t="s">
        <v>267</v>
      </c>
      <c r="H33" s="6" t="s">
        <v>279</v>
      </c>
    </row>
    <row r="34" spans="1:8">
      <c r="A34" s="18" t="s">
        <v>70</v>
      </c>
      <c r="B34" s="18" t="s">
        <v>228</v>
      </c>
      <c r="C34" s="7" t="s">
        <v>293</v>
      </c>
      <c r="D34" s="18" t="s">
        <v>259</v>
      </c>
      <c r="E34" s="7" t="s">
        <v>271</v>
      </c>
      <c r="F34" s="7" t="s">
        <v>269</v>
      </c>
      <c r="G34" s="7" t="s">
        <v>267</v>
      </c>
      <c r="H34" s="7" t="s">
        <v>268</v>
      </c>
    </row>
    <row r="35" spans="1:8">
      <c r="A35" s="16" t="s">
        <v>70</v>
      </c>
      <c r="B35" s="16" t="s">
        <v>240</v>
      </c>
      <c r="C35" s="11" t="s">
        <v>291</v>
      </c>
      <c r="D35" s="16" t="s">
        <v>259</v>
      </c>
      <c r="E35" s="11" t="s">
        <v>237</v>
      </c>
      <c r="F35" s="11" t="s">
        <v>290</v>
      </c>
      <c r="G35" s="11" t="s">
        <v>267</v>
      </c>
      <c r="H35" s="11" t="s">
        <v>263</v>
      </c>
    </row>
    <row r="36" spans="1:8">
      <c r="A36" s="17" t="s">
        <v>70</v>
      </c>
      <c r="B36" s="17" t="s">
        <v>243</v>
      </c>
      <c r="C36" s="5" t="s">
        <v>213</v>
      </c>
      <c r="D36" s="17" t="s">
        <v>259</v>
      </c>
      <c r="E36" s="5" t="s">
        <v>268</v>
      </c>
      <c r="F36" s="5" t="s">
        <v>287</v>
      </c>
      <c r="G36" s="5" t="s">
        <v>278</v>
      </c>
      <c r="H36" s="5" t="s">
        <v>268</v>
      </c>
    </row>
    <row r="37" spans="1:8">
      <c r="A37" s="17" t="s">
        <v>74</v>
      </c>
      <c r="B37" s="17" t="s">
        <v>246</v>
      </c>
      <c r="C37" s="5" t="s">
        <v>305</v>
      </c>
      <c r="D37" s="17" t="s">
        <v>259</v>
      </c>
      <c r="E37" s="5" t="s">
        <v>268</v>
      </c>
      <c r="F37" s="5" t="s">
        <v>306</v>
      </c>
      <c r="G37" s="5" t="s">
        <v>278</v>
      </c>
      <c r="H37" s="5" t="s">
        <v>268</v>
      </c>
    </row>
    <row r="38" spans="1:8">
      <c r="A38" s="14" t="s">
        <v>74</v>
      </c>
      <c r="B38" s="14" t="s">
        <v>238</v>
      </c>
      <c r="C38" s="15" t="s">
        <v>216</v>
      </c>
      <c r="D38" s="14" t="s">
        <v>259</v>
      </c>
      <c r="E38" s="15" t="s">
        <v>265</v>
      </c>
      <c r="F38" s="15" t="s">
        <v>272</v>
      </c>
      <c r="G38" s="15" t="s">
        <v>262</v>
      </c>
      <c r="H38" s="15" t="s">
        <v>263</v>
      </c>
    </row>
    <row r="39" spans="1:8">
      <c r="A39" s="14" t="s">
        <v>74</v>
      </c>
      <c r="B39" s="14" t="s">
        <v>228</v>
      </c>
      <c r="C39" s="15" t="s">
        <v>307</v>
      </c>
      <c r="D39" s="14" t="s">
        <v>259</v>
      </c>
      <c r="E39" s="15" t="s">
        <v>265</v>
      </c>
      <c r="F39" s="15" t="s">
        <v>269</v>
      </c>
      <c r="G39" s="15" t="s">
        <v>270</v>
      </c>
      <c r="H39" s="15" t="s">
        <v>263</v>
      </c>
    </row>
    <row r="40" spans="1:8">
      <c r="A40" s="3" t="s">
        <v>78</v>
      </c>
      <c r="B40" s="3" t="s">
        <v>239</v>
      </c>
      <c r="C40" s="6" t="s">
        <v>298</v>
      </c>
      <c r="D40" s="3" t="s">
        <v>259</v>
      </c>
      <c r="E40" s="6" t="s">
        <v>260</v>
      </c>
      <c r="F40" s="6" t="s">
        <v>273</v>
      </c>
      <c r="G40" s="6" t="s">
        <v>270</v>
      </c>
      <c r="H40" s="6" t="s">
        <v>271</v>
      </c>
    </row>
    <row r="41" spans="1:8">
      <c r="A41" s="18" t="s">
        <v>78</v>
      </c>
      <c r="B41" s="18" t="s">
        <v>240</v>
      </c>
      <c r="C41" s="7" t="s">
        <v>295</v>
      </c>
      <c r="D41" s="18" t="s">
        <v>259</v>
      </c>
      <c r="E41" s="7" t="s">
        <v>271</v>
      </c>
      <c r="F41" s="7" t="s">
        <v>277</v>
      </c>
      <c r="G41" s="7" t="s">
        <v>262</v>
      </c>
      <c r="H41" s="7" t="s">
        <v>263</v>
      </c>
    </row>
    <row r="42" spans="1:8">
      <c r="A42" s="3" t="s">
        <v>78</v>
      </c>
      <c r="B42" s="3" t="s">
        <v>243</v>
      </c>
      <c r="C42" s="6" t="s">
        <v>214</v>
      </c>
      <c r="D42" s="3" t="s">
        <v>259</v>
      </c>
      <c r="E42" s="6" t="s">
        <v>260</v>
      </c>
      <c r="F42" s="6" t="s">
        <v>297</v>
      </c>
      <c r="G42" s="6" t="s">
        <v>262</v>
      </c>
      <c r="H42" s="6" t="s">
        <v>279</v>
      </c>
    </row>
    <row r="43" spans="1:8">
      <c r="A43" s="16" t="s">
        <v>82</v>
      </c>
      <c r="B43" s="16" t="s">
        <v>248</v>
      </c>
      <c r="C43" s="11" t="s">
        <v>276</v>
      </c>
      <c r="D43" s="16" t="s">
        <v>259</v>
      </c>
      <c r="E43" s="11" t="s">
        <v>237</v>
      </c>
      <c r="F43" s="11" t="s">
        <v>269</v>
      </c>
      <c r="G43" s="11" t="s">
        <v>278</v>
      </c>
      <c r="H43" s="11" t="s">
        <v>268</v>
      </c>
    </row>
    <row r="44" spans="1:8">
      <c r="A44" s="16" t="s">
        <v>82</v>
      </c>
      <c r="B44" s="16" t="s">
        <v>236</v>
      </c>
      <c r="C44" s="11" t="s">
        <v>303</v>
      </c>
      <c r="D44" s="16" t="s">
        <v>259</v>
      </c>
      <c r="E44" s="11" t="s">
        <v>237</v>
      </c>
      <c r="F44" s="11" t="s">
        <v>308</v>
      </c>
      <c r="G44" s="11" t="s">
        <v>270</v>
      </c>
      <c r="H44" s="11" t="s">
        <v>271</v>
      </c>
    </row>
    <row r="45" spans="1:8">
      <c r="A45" s="18" t="s">
        <v>82</v>
      </c>
      <c r="B45" s="18" t="s">
        <v>239</v>
      </c>
      <c r="C45" s="7" t="s">
        <v>305</v>
      </c>
      <c r="D45" s="18" t="s">
        <v>259</v>
      </c>
      <c r="E45" s="7" t="s">
        <v>271</v>
      </c>
      <c r="F45" s="7" t="s">
        <v>309</v>
      </c>
      <c r="G45" s="7" t="s">
        <v>267</v>
      </c>
      <c r="H45" s="7" t="s">
        <v>271</v>
      </c>
    </row>
    <row r="46" spans="1:8">
      <c r="A46" s="17" t="s">
        <v>86</v>
      </c>
      <c r="B46" s="17" t="s">
        <v>239</v>
      </c>
      <c r="C46" s="5" t="s">
        <v>310</v>
      </c>
      <c r="D46" s="17" t="s">
        <v>259</v>
      </c>
      <c r="E46" s="5" t="s">
        <v>268</v>
      </c>
      <c r="F46" s="5" t="s">
        <v>302</v>
      </c>
      <c r="G46" s="5" t="s">
        <v>267</v>
      </c>
      <c r="H46" s="5" t="s">
        <v>271</v>
      </c>
    </row>
    <row r="47" spans="1:8">
      <c r="A47" s="16" t="s">
        <v>86</v>
      </c>
      <c r="B47" s="16" t="s">
        <v>228</v>
      </c>
      <c r="C47" s="11" t="s">
        <v>258</v>
      </c>
      <c r="D47" s="16" t="s">
        <v>259</v>
      </c>
      <c r="E47" s="11" t="s">
        <v>237</v>
      </c>
      <c r="F47" s="11" t="s">
        <v>269</v>
      </c>
      <c r="G47" s="11" t="s">
        <v>267</v>
      </c>
      <c r="H47" s="11" t="s">
        <v>271</v>
      </c>
    </row>
    <row r="48" spans="1:8">
      <c r="A48" s="3" t="s">
        <v>86</v>
      </c>
      <c r="B48" s="3" t="s">
        <v>248</v>
      </c>
      <c r="C48" s="6" t="s">
        <v>311</v>
      </c>
      <c r="D48" s="3" t="s">
        <v>259</v>
      </c>
      <c r="E48" s="6" t="s">
        <v>260</v>
      </c>
      <c r="F48" s="6" t="s">
        <v>283</v>
      </c>
      <c r="G48" s="6" t="s">
        <v>278</v>
      </c>
      <c r="H48" s="6" t="s">
        <v>263</v>
      </c>
    </row>
    <row r="49" spans="1:8">
      <c r="A49" s="16" t="s">
        <v>86</v>
      </c>
      <c r="B49" s="16" t="s">
        <v>228</v>
      </c>
      <c r="C49" s="11" t="s">
        <v>307</v>
      </c>
      <c r="D49" s="16" t="s">
        <v>259</v>
      </c>
      <c r="E49" s="11" t="s">
        <v>237</v>
      </c>
      <c r="F49" s="11" t="s">
        <v>302</v>
      </c>
      <c r="G49" s="11" t="s">
        <v>270</v>
      </c>
      <c r="H49" s="11" t="s">
        <v>279</v>
      </c>
    </row>
    <row r="50" spans="1:8">
      <c r="A50" s="18" t="s">
        <v>86</v>
      </c>
      <c r="B50" s="18" t="s">
        <v>242</v>
      </c>
      <c r="C50" s="7" t="s">
        <v>298</v>
      </c>
      <c r="D50" s="18" t="s">
        <v>259</v>
      </c>
      <c r="E50" s="7" t="s">
        <v>271</v>
      </c>
      <c r="F50" s="7" t="s">
        <v>273</v>
      </c>
      <c r="G50" s="7" t="s">
        <v>278</v>
      </c>
      <c r="H50" s="7" t="s">
        <v>271</v>
      </c>
    </row>
    <row r="51" spans="1:8">
      <c r="A51" s="14" t="s">
        <v>90</v>
      </c>
      <c r="B51" s="14" t="s">
        <v>228</v>
      </c>
      <c r="C51" s="15" t="s">
        <v>179</v>
      </c>
      <c r="D51" s="14" t="s">
        <v>259</v>
      </c>
      <c r="E51" s="15" t="s">
        <v>265</v>
      </c>
      <c r="F51" s="15" t="s">
        <v>287</v>
      </c>
      <c r="G51" s="15" t="s">
        <v>270</v>
      </c>
      <c r="H51" s="15" t="s">
        <v>271</v>
      </c>
    </row>
    <row r="52" spans="1:8">
      <c r="A52" s="3" t="s">
        <v>90</v>
      </c>
      <c r="B52" s="3" t="s">
        <v>249</v>
      </c>
      <c r="C52" s="6" t="s">
        <v>217</v>
      </c>
      <c r="D52" s="3" t="s">
        <v>259</v>
      </c>
      <c r="E52" s="6" t="s">
        <v>260</v>
      </c>
      <c r="F52" s="6" t="s">
        <v>261</v>
      </c>
      <c r="G52" s="6" t="s">
        <v>278</v>
      </c>
      <c r="H52" s="6" t="s">
        <v>263</v>
      </c>
    </row>
    <row r="53" spans="1:8">
      <c r="A53" s="18" t="s">
        <v>90</v>
      </c>
      <c r="B53" s="18" t="s">
        <v>246</v>
      </c>
      <c r="C53" s="7" t="s">
        <v>293</v>
      </c>
      <c r="D53" s="18" t="s">
        <v>259</v>
      </c>
      <c r="E53" s="7" t="s">
        <v>271</v>
      </c>
      <c r="F53" s="7" t="s">
        <v>312</v>
      </c>
      <c r="G53" s="7" t="s">
        <v>267</v>
      </c>
      <c r="H53" s="7" t="s">
        <v>279</v>
      </c>
    </row>
    <row r="54" spans="1:8">
      <c r="A54" s="3" t="s">
        <v>90</v>
      </c>
      <c r="B54" s="3" t="s">
        <v>240</v>
      </c>
      <c r="C54" s="6" t="s">
        <v>313</v>
      </c>
      <c r="D54" s="3" t="s">
        <v>259</v>
      </c>
      <c r="E54" s="6" t="s">
        <v>260</v>
      </c>
      <c r="F54" s="6" t="s">
        <v>297</v>
      </c>
      <c r="G54" s="6" t="s">
        <v>267</v>
      </c>
      <c r="H54" s="6" t="s">
        <v>271</v>
      </c>
    </row>
    <row r="55" spans="1:8">
      <c r="A55" s="17" t="s">
        <v>94</v>
      </c>
      <c r="B55" s="17" t="s">
        <v>238</v>
      </c>
      <c r="C55" s="5" t="s">
        <v>291</v>
      </c>
      <c r="D55" s="17" t="s">
        <v>259</v>
      </c>
      <c r="E55" s="5" t="s">
        <v>268</v>
      </c>
      <c r="F55" s="5" t="s">
        <v>272</v>
      </c>
      <c r="G55" s="5" t="s">
        <v>262</v>
      </c>
      <c r="H55" s="5" t="s">
        <v>271</v>
      </c>
    </row>
    <row r="56" spans="1:8">
      <c r="A56" s="3" t="s">
        <v>94</v>
      </c>
      <c r="B56" s="3" t="s">
        <v>245</v>
      </c>
      <c r="C56" s="6" t="s">
        <v>288</v>
      </c>
      <c r="D56" s="3" t="s">
        <v>259</v>
      </c>
      <c r="E56" s="6" t="s">
        <v>260</v>
      </c>
      <c r="F56" s="6" t="s">
        <v>306</v>
      </c>
      <c r="G56" s="6" t="s">
        <v>267</v>
      </c>
      <c r="H56" s="6" t="s">
        <v>271</v>
      </c>
    </row>
    <row r="57" spans="1:8">
      <c r="A57" s="14" t="s">
        <v>94</v>
      </c>
      <c r="B57" s="14" t="s">
        <v>240</v>
      </c>
      <c r="C57" s="15" t="s">
        <v>217</v>
      </c>
      <c r="D57" s="14" t="s">
        <v>259</v>
      </c>
      <c r="E57" s="15" t="s">
        <v>265</v>
      </c>
      <c r="F57" s="15" t="s">
        <v>314</v>
      </c>
      <c r="G57" s="15" t="s">
        <v>278</v>
      </c>
      <c r="H57" s="15" t="s">
        <v>263</v>
      </c>
    </row>
    <row r="58" spans="1:8">
      <c r="A58" s="18" t="s">
        <v>98</v>
      </c>
      <c r="B58" s="18" t="s">
        <v>242</v>
      </c>
      <c r="C58" s="7" t="s">
        <v>211</v>
      </c>
      <c r="D58" s="18" t="s">
        <v>259</v>
      </c>
      <c r="E58" s="7" t="s">
        <v>271</v>
      </c>
      <c r="F58" s="7" t="s">
        <v>285</v>
      </c>
      <c r="G58" s="7" t="s">
        <v>278</v>
      </c>
      <c r="H58" s="7" t="s">
        <v>271</v>
      </c>
    </row>
    <row r="59" spans="1:8">
      <c r="A59" s="14" t="s">
        <v>98</v>
      </c>
      <c r="B59" s="14" t="s">
        <v>241</v>
      </c>
      <c r="C59" s="15" t="s">
        <v>298</v>
      </c>
      <c r="D59" s="14" t="s">
        <v>259</v>
      </c>
      <c r="E59" s="15" t="s">
        <v>265</v>
      </c>
      <c r="F59" s="15" t="s">
        <v>315</v>
      </c>
      <c r="G59" s="15" t="s">
        <v>262</v>
      </c>
      <c r="H59" s="15" t="s">
        <v>271</v>
      </c>
    </row>
    <row r="60" spans="1:8">
      <c r="A60" s="17" t="s">
        <v>98</v>
      </c>
      <c r="B60" s="17" t="s">
        <v>242</v>
      </c>
      <c r="C60" s="5" t="s">
        <v>316</v>
      </c>
      <c r="D60" s="17" t="s">
        <v>259</v>
      </c>
      <c r="E60" s="5" t="s">
        <v>268</v>
      </c>
      <c r="F60" s="5" t="s">
        <v>306</v>
      </c>
      <c r="G60" s="5" t="s">
        <v>278</v>
      </c>
      <c r="H60" s="5" t="s">
        <v>279</v>
      </c>
    </row>
    <row r="61" spans="1:8">
      <c r="A61" s="14" t="s">
        <v>98</v>
      </c>
      <c r="B61" s="14" t="s">
        <v>241</v>
      </c>
      <c r="C61" s="15" t="s">
        <v>173</v>
      </c>
      <c r="D61" s="14" t="s">
        <v>259</v>
      </c>
      <c r="E61" s="15" t="s">
        <v>265</v>
      </c>
      <c r="F61" s="15" t="s">
        <v>297</v>
      </c>
      <c r="G61" s="15" t="s">
        <v>278</v>
      </c>
      <c r="H61" s="15" t="s">
        <v>263</v>
      </c>
    </row>
    <row r="62" spans="1:8">
      <c r="A62" s="16" t="s">
        <v>102</v>
      </c>
      <c r="B62" s="16" t="s">
        <v>240</v>
      </c>
      <c r="C62" s="11" t="s">
        <v>305</v>
      </c>
      <c r="D62" s="16" t="s">
        <v>259</v>
      </c>
      <c r="E62" s="11" t="s">
        <v>237</v>
      </c>
      <c r="F62" s="11" t="s">
        <v>317</v>
      </c>
      <c r="G62" s="11" t="s">
        <v>278</v>
      </c>
      <c r="H62" s="11" t="s">
        <v>271</v>
      </c>
    </row>
    <row r="63" spans="1:8">
      <c r="A63" s="16" t="s">
        <v>102</v>
      </c>
      <c r="B63" s="16" t="s">
        <v>238</v>
      </c>
      <c r="C63" s="11" t="s">
        <v>284</v>
      </c>
      <c r="D63" s="16" t="s">
        <v>259</v>
      </c>
      <c r="E63" s="11" t="s">
        <v>237</v>
      </c>
      <c r="F63" s="11" t="s">
        <v>308</v>
      </c>
      <c r="G63" s="11" t="s">
        <v>267</v>
      </c>
      <c r="H63" s="11" t="s">
        <v>263</v>
      </c>
    </row>
    <row r="64" spans="1:8">
      <c r="A64" s="17" t="s">
        <v>102</v>
      </c>
      <c r="B64" s="17" t="s">
        <v>236</v>
      </c>
      <c r="C64" s="5" t="s">
        <v>174</v>
      </c>
      <c r="D64" s="17" t="s">
        <v>259</v>
      </c>
      <c r="E64" s="5" t="s">
        <v>268</v>
      </c>
      <c r="F64" s="5" t="s">
        <v>318</v>
      </c>
      <c r="G64" s="5" t="s">
        <v>278</v>
      </c>
      <c r="H64" s="5" t="s">
        <v>263</v>
      </c>
    </row>
    <row r="65" spans="1:8">
      <c r="A65" s="16" t="s">
        <v>106</v>
      </c>
      <c r="B65" s="16" t="s">
        <v>249</v>
      </c>
      <c r="C65" s="11" t="s">
        <v>307</v>
      </c>
      <c r="D65" s="16" t="s">
        <v>259</v>
      </c>
      <c r="E65" s="11" t="s">
        <v>237</v>
      </c>
      <c r="F65" s="11" t="s">
        <v>287</v>
      </c>
      <c r="G65" s="11" t="s">
        <v>278</v>
      </c>
      <c r="H65" s="11" t="s">
        <v>268</v>
      </c>
    </row>
    <row r="66" spans="1:8">
      <c r="A66" s="14" t="s">
        <v>106</v>
      </c>
      <c r="B66" s="14" t="s">
        <v>242</v>
      </c>
      <c r="C66" s="15" t="s">
        <v>264</v>
      </c>
      <c r="D66" s="14" t="s">
        <v>259</v>
      </c>
      <c r="E66" s="15" t="s">
        <v>265</v>
      </c>
      <c r="F66" s="15" t="s">
        <v>297</v>
      </c>
      <c r="G66" s="15" t="s">
        <v>267</v>
      </c>
      <c r="H66" s="15" t="s">
        <v>268</v>
      </c>
    </row>
    <row r="67" spans="1:8">
      <c r="A67" s="3" t="s">
        <v>106</v>
      </c>
      <c r="B67" s="3" t="s">
        <v>238</v>
      </c>
      <c r="C67" s="6" t="s">
        <v>211</v>
      </c>
      <c r="D67" s="3" t="s">
        <v>259</v>
      </c>
      <c r="E67" s="6" t="s">
        <v>260</v>
      </c>
      <c r="F67" s="6" t="s">
        <v>281</v>
      </c>
      <c r="G67" s="6" t="s">
        <v>262</v>
      </c>
      <c r="H67" s="6" t="s">
        <v>268</v>
      </c>
    </row>
    <row r="68" spans="1:8">
      <c r="A68" s="16" t="s">
        <v>106</v>
      </c>
      <c r="B68" s="16" t="s">
        <v>241</v>
      </c>
      <c r="C68" s="11" t="s">
        <v>303</v>
      </c>
      <c r="D68" s="16" t="s">
        <v>259</v>
      </c>
      <c r="E68" s="11" t="s">
        <v>237</v>
      </c>
      <c r="F68" s="11" t="s">
        <v>277</v>
      </c>
      <c r="G68" s="11" t="s">
        <v>262</v>
      </c>
      <c r="H68" s="11" t="s">
        <v>279</v>
      </c>
    </row>
    <row r="69" spans="1:8">
      <c r="A69" s="14" t="s">
        <v>110</v>
      </c>
      <c r="B69" s="14" t="s">
        <v>246</v>
      </c>
      <c r="C69" s="15" t="s">
        <v>180</v>
      </c>
      <c r="D69" s="14" t="s">
        <v>259</v>
      </c>
      <c r="E69" s="15" t="s">
        <v>265</v>
      </c>
      <c r="F69" s="15" t="s">
        <v>304</v>
      </c>
      <c r="G69" s="15" t="s">
        <v>262</v>
      </c>
      <c r="H69" s="15" t="s">
        <v>271</v>
      </c>
    </row>
    <row r="70" spans="1:8">
      <c r="A70" s="17" t="s">
        <v>110</v>
      </c>
      <c r="B70" s="17" t="s">
        <v>228</v>
      </c>
      <c r="C70" s="5" t="s">
        <v>319</v>
      </c>
      <c r="D70" s="17" t="s">
        <v>259</v>
      </c>
      <c r="E70" s="5" t="s">
        <v>268</v>
      </c>
      <c r="F70" s="5" t="s">
        <v>297</v>
      </c>
      <c r="G70" s="5" t="s">
        <v>278</v>
      </c>
      <c r="H70" s="5" t="s">
        <v>263</v>
      </c>
    </row>
    <row r="71" spans="1:8">
      <c r="A71" s="17" t="s">
        <v>110</v>
      </c>
      <c r="B71" s="17" t="s">
        <v>243</v>
      </c>
      <c r="C71" s="5" t="s">
        <v>313</v>
      </c>
      <c r="D71" s="17" t="s">
        <v>259</v>
      </c>
      <c r="E71" s="5" t="s">
        <v>268</v>
      </c>
      <c r="F71" s="5" t="s">
        <v>283</v>
      </c>
      <c r="G71" s="5" t="s">
        <v>267</v>
      </c>
      <c r="H71" s="5" t="s">
        <v>271</v>
      </c>
    </row>
    <row r="72" spans="1:8">
      <c r="A72" s="3" t="s">
        <v>114</v>
      </c>
      <c r="B72" s="3" t="s">
        <v>248</v>
      </c>
      <c r="C72" s="6" t="s">
        <v>178</v>
      </c>
      <c r="D72" s="3" t="s">
        <v>259</v>
      </c>
      <c r="E72" s="6" t="s">
        <v>260</v>
      </c>
      <c r="F72" s="6" t="s">
        <v>285</v>
      </c>
      <c r="G72" s="6" t="s">
        <v>267</v>
      </c>
      <c r="H72" s="6" t="s">
        <v>279</v>
      </c>
    </row>
    <row r="73" spans="1:8">
      <c r="A73" s="18" t="s">
        <v>114</v>
      </c>
      <c r="B73" s="18" t="s">
        <v>247</v>
      </c>
      <c r="C73" s="7" t="s">
        <v>274</v>
      </c>
      <c r="D73" s="18" t="s">
        <v>259</v>
      </c>
      <c r="E73" s="7" t="s">
        <v>271</v>
      </c>
      <c r="F73" s="7" t="s">
        <v>312</v>
      </c>
      <c r="G73" s="7" t="s">
        <v>270</v>
      </c>
      <c r="H73" s="7" t="s">
        <v>271</v>
      </c>
    </row>
    <row r="74" spans="1:8">
      <c r="A74" s="3" t="s">
        <v>114</v>
      </c>
      <c r="B74" s="3" t="s">
        <v>235</v>
      </c>
      <c r="C74" s="6" t="s">
        <v>208</v>
      </c>
      <c r="D74" s="3" t="s">
        <v>259</v>
      </c>
      <c r="E74" s="6" t="s">
        <v>260</v>
      </c>
      <c r="F74" s="6" t="s">
        <v>281</v>
      </c>
      <c r="G74" s="6" t="s">
        <v>267</v>
      </c>
      <c r="H74" s="6" t="s">
        <v>268</v>
      </c>
    </row>
    <row r="75" spans="1:8">
      <c r="A75" s="16" t="s">
        <v>114</v>
      </c>
      <c r="B75" s="16" t="s">
        <v>249</v>
      </c>
      <c r="C75" s="11" t="s">
        <v>284</v>
      </c>
      <c r="D75" s="16" t="s">
        <v>259</v>
      </c>
      <c r="E75" s="11" t="s">
        <v>237</v>
      </c>
      <c r="F75" s="11" t="s">
        <v>314</v>
      </c>
      <c r="G75" s="11" t="s">
        <v>270</v>
      </c>
      <c r="H75" s="11" t="s">
        <v>271</v>
      </c>
    </row>
    <row r="76" spans="1:8">
      <c r="A76" s="3" t="s">
        <v>118</v>
      </c>
      <c r="B76" s="3" t="s">
        <v>246</v>
      </c>
      <c r="C76" s="6" t="s">
        <v>316</v>
      </c>
      <c r="D76" s="3" t="s">
        <v>259</v>
      </c>
      <c r="E76" s="6" t="s">
        <v>260</v>
      </c>
      <c r="F76" s="6" t="s">
        <v>275</v>
      </c>
      <c r="G76" s="6" t="s">
        <v>278</v>
      </c>
      <c r="H76" s="6" t="s">
        <v>271</v>
      </c>
    </row>
    <row r="77" spans="1:8">
      <c r="A77" s="16" t="s">
        <v>118</v>
      </c>
      <c r="B77" s="16" t="s">
        <v>241</v>
      </c>
      <c r="C77" s="11" t="s">
        <v>286</v>
      </c>
      <c r="D77" s="16" t="s">
        <v>259</v>
      </c>
      <c r="E77" s="11" t="s">
        <v>237</v>
      </c>
      <c r="F77" s="11" t="s">
        <v>315</v>
      </c>
      <c r="G77" s="11" t="s">
        <v>278</v>
      </c>
      <c r="H77" s="11" t="s">
        <v>263</v>
      </c>
    </row>
    <row r="78" spans="1:8">
      <c r="A78" s="17" t="s">
        <v>118</v>
      </c>
      <c r="B78" s="17" t="s">
        <v>241</v>
      </c>
      <c r="C78" s="5" t="s">
        <v>215</v>
      </c>
      <c r="D78" s="17" t="s">
        <v>259</v>
      </c>
      <c r="E78" s="5" t="s">
        <v>268</v>
      </c>
      <c r="F78" s="5" t="s">
        <v>302</v>
      </c>
      <c r="G78" s="5" t="s">
        <v>270</v>
      </c>
      <c r="H78" s="5" t="s">
        <v>279</v>
      </c>
    </row>
    <row r="79" spans="1:8">
      <c r="A79" s="17" t="s">
        <v>118</v>
      </c>
      <c r="B79" s="17" t="s">
        <v>245</v>
      </c>
      <c r="C79" s="5" t="s">
        <v>298</v>
      </c>
      <c r="D79" s="17" t="s">
        <v>259</v>
      </c>
      <c r="E79" s="5" t="s">
        <v>268</v>
      </c>
      <c r="F79" s="5" t="s">
        <v>320</v>
      </c>
      <c r="G79" s="5" t="s">
        <v>267</v>
      </c>
      <c r="H79" s="5" t="s">
        <v>271</v>
      </c>
    </row>
    <row r="80" spans="1:8">
      <c r="A80" s="14" t="s">
        <v>118</v>
      </c>
      <c r="B80" s="14" t="s">
        <v>247</v>
      </c>
      <c r="C80" s="15" t="s">
        <v>208</v>
      </c>
      <c r="D80" s="14" t="s">
        <v>259</v>
      </c>
      <c r="E80" s="15" t="s">
        <v>265</v>
      </c>
      <c r="F80" s="15" t="s">
        <v>292</v>
      </c>
      <c r="G80" s="15" t="s">
        <v>267</v>
      </c>
      <c r="H80" s="15" t="s">
        <v>271</v>
      </c>
    </row>
    <row r="81" spans="1:8">
      <c r="A81" s="16" t="s">
        <v>122</v>
      </c>
      <c r="B81" s="16" t="s">
        <v>239</v>
      </c>
      <c r="C81" s="11" t="s">
        <v>180</v>
      </c>
      <c r="D81" s="16" t="s">
        <v>259</v>
      </c>
      <c r="E81" s="11" t="s">
        <v>237</v>
      </c>
      <c r="F81" s="11" t="s">
        <v>300</v>
      </c>
      <c r="G81" s="11" t="s">
        <v>267</v>
      </c>
      <c r="H81" s="11" t="s">
        <v>268</v>
      </c>
    </row>
    <row r="82" spans="1:8">
      <c r="A82" s="16" t="s">
        <v>122</v>
      </c>
      <c r="B82" s="16" t="s">
        <v>248</v>
      </c>
      <c r="C82" s="11" t="s">
        <v>310</v>
      </c>
      <c r="D82" s="16" t="s">
        <v>259</v>
      </c>
      <c r="E82" s="11" t="s">
        <v>237</v>
      </c>
      <c r="F82" s="11" t="s">
        <v>304</v>
      </c>
      <c r="G82" s="11" t="s">
        <v>270</v>
      </c>
      <c r="H82" s="11" t="s">
        <v>271</v>
      </c>
    </row>
    <row r="83" spans="1:8">
      <c r="A83" s="17" t="s">
        <v>122</v>
      </c>
      <c r="B83" s="17" t="s">
        <v>245</v>
      </c>
      <c r="C83" s="5" t="s">
        <v>310</v>
      </c>
      <c r="D83" s="17" t="s">
        <v>259</v>
      </c>
      <c r="E83" s="5" t="s">
        <v>268</v>
      </c>
      <c r="F83" s="5" t="s">
        <v>315</v>
      </c>
      <c r="G83" s="5" t="s">
        <v>270</v>
      </c>
      <c r="H83" s="5" t="s">
        <v>271</v>
      </c>
    </row>
    <row r="84" spans="1:8">
      <c r="A84" s="3" t="s">
        <v>126</v>
      </c>
      <c r="B84" s="3" t="s">
        <v>246</v>
      </c>
      <c r="C84" s="6" t="s">
        <v>208</v>
      </c>
      <c r="D84" s="3" t="s">
        <v>259</v>
      </c>
      <c r="E84" s="6" t="s">
        <v>260</v>
      </c>
      <c r="F84" s="6" t="s">
        <v>292</v>
      </c>
      <c r="G84" s="6" t="s">
        <v>262</v>
      </c>
      <c r="H84" s="6" t="s">
        <v>268</v>
      </c>
    </row>
    <row r="85" spans="1:8">
      <c r="A85" s="14" t="s">
        <v>126</v>
      </c>
      <c r="B85" s="14" t="s">
        <v>244</v>
      </c>
      <c r="C85" s="15" t="s">
        <v>172</v>
      </c>
      <c r="D85" s="14" t="s">
        <v>259</v>
      </c>
      <c r="E85" s="15" t="s">
        <v>265</v>
      </c>
      <c r="F85" s="15" t="s">
        <v>320</v>
      </c>
      <c r="G85" s="15" t="s">
        <v>270</v>
      </c>
      <c r="H85" s="15" t="s">
        <v>268</v>
      </c>
    </row>
    <row r="86" spans="1:8">
      <c r="A86" s="16" t="s">
        <v>126</v>
      </c>
      <c r="B86" s="16" t="s">
        <v>245</v>
      </c>
      <c r="C86" s="11" t="s">
        <v>289</v>
      </c>
      <c r="D86" s="16" t="s">
        <v>259</v>
      </c>
      <c r="E86" s="11" t="s">
        <v>237</v>
      </c>
      <c r="F86" s="11" t="s">
        <v>304</v>
      </c>
      <c r="G86" s="11" t="s">
        <v>262</v>
      </c>
      <c r="H86" s="11" t="s">
        <v>263</v>
      </c>
    </row>
    <row r="87" spans="1:8">
      <c r="A87" s="18" t="s">
        <v>126</v>
      </c>
      <c r="B87" s="18" t="s">
        <v>241</v>
      </c>
      <c r="C87" s="7" t="s">
        <v>282</v>
      </c>
      <c r="D87" s="18" t="s">
        <v>259</v>
      </c>
      <c r="E87" s="7" t="s">
        <v>271</v>
      </c>
      <c r="F87" s="7" t="s">
        <v>308</v>
      </c>
      <c r="G87" s="7" t="s">
        <v>270</v>
      </c>
      <c r="H87" s="7" t="s">
        <v>268</v>
      </c>
    </row>
    <row r="88" spans="1:8">
      <c r="A88" s="14" t="s">
        <v>126</v>
      </c>
      <c r="B88" s="14" t="s">
        <v>228</v>
      </c>
      <c r="C88" s="15" t="s">
        <v>321</v>
      </c>
      <c r="D88" s="14" t="s">
        <v>259</v>
      </c>
      <c r="E88" s="15" t="s">
        <v>265</v>
      </c>
      <c r="F88" s="15" t="s">
        <v>306</v>
      </c>
      <c r="G88" s="15" t="s">
        <v>267</v>
      </c>
      <c r="H88" s="15" t="s">
        <v>268</v>
      </c>
    </row>
    <row r="89" spans="1:8">
      <c r="A89" s="16" t="s">
        <v>130</v>
      </c>
      <c r="B89" s="16" t="s">
        <v>249</v>
      </c>
      <c r="C89" s="11" t="s">
        <v>180</v>
      </c>
      <c r="D89" s="16" t="s">
        <v>259</v>
      </c>
      <c r="E89" s="11" t="s">
        <v>237</v>
      </c>
      <c r="F89" s="11" t="s">
        <v>266</v>
      </c>
      <c r="G89" s="11" t="s">
        <v>262</v>
      </c>
      <c r="H89" s="11" t="s">
        <v>271</v>
      </c>
    </row>
    <row r="90" spans="1:8">
      <c r="A90" s="3" t="s">
        <v>130</v>
      </c>
      <c r="B90" s="3" t="s">
        <v>228</v>
      </c>
      <c r="C90" s="6" t="s">
        <v>180</v>
      </c>
      <c r="D90" s="3" t="s">
        <v>259</v>
      </c>
      <c r="E90" s="6" t="s">
        <v>260</v>
      </c>
      <c r="F90" s="6" t="s">
        <v>318</v>
      </c>
      <c r="G90" s="6" t="s">
        <v>262</v>
      </c>
      <c r="H90" s="6" t="s">
        <v>268</v>
      </c>
    </row>
    <row r="91" spans="1:8">
      <c r="A91" s="17" t="s">
        <v>134</v>
      </c>
      <c r="B91" s="17" t="s">
        <v>244</v>
      </c>
      <c r="C91" s="5" t="s">
        <v>313</v>
      </c>
      <c r="D91" s="17" t="s">
        <v>259</v>
      </c>
      <c r="E91" s="5" t="s">
        <v>268</v>
      </c>
      <c r="F91" s="5" t="s">
        <v>315</v>
      </c>
      <c r="G91" s="5" t="s">
        <v>262</v>
      </c>
      <c r="H91" s="5" t="s">
        <v>279</v>
      </c>
    </row>
    <row r="92" spans="1:8">
      <c r="A92" s="16" t="s">
        <v>134</v>
      </c>
      <c r="B92" s="16" t="s">
        <v>246</v>
      </c>
      <c r="C92" s="11" t="s">
        <v>322</v>
      </c>
      <c r="D92" s="16" t="s">
        <v>259</v>
      </c>
      <c r="E92" s="11" t="s">
        <v>237</v>
      </c>
      <c r="F92" s="11" t="s">
        <v>309</v>
      </c>
      <c r="G92" s="11" t="s">
        <v>267</v>
      </c>
      <c r="H92" s="11" t="s">
        <v>279</v>
      </c>
    </row>
    <row r="93" spans="1:8">
      <c r="A93" s="18" t="s">
        <v>134</v>
      </c>
      <c r="B93" s="18" t="s">
        <v>246</v>
      </c>
      <c r="C93" s="7" t="s">
        <v>212</v>
      </c>
      <c r="D93" s="18" t="s">
        <v>259</v>
      </c>
      <c r="E93" s="7" t="s">
        <v>271</v>
      </c>
      <c r="F93" s="7" t="s">
        <v>302</v>
      </c>
      <c r="G93" s="7" t="s">
        <v>267</v>
      </c>
      <c r="H93" s="7" t="s">
        <v>268</v>
      </c>
    </row>
    <row r="94" spans="1:8">
      <c r="A94" s="17" t="s">
        <v>138</v>
      </c>
      <c r="B94" s="17" t="s">
        <v>239</v>
      </c>
      <c r="C94" s="5" t="s">
        <v>217</v>
      </c>
      <c r="D94" s="17" t="s">
        <v>259</v>
      </c>
      <c r="E94" s="5" t="s">
        <v>268</v>
      </c>
      <c r="F94" s="5" t="s">
        <v>312</v>
      </c>
      <c r="G94" s="5" t="s">
        <v>267</v>
      </c>
      <c r="H94" s="5" t="s">
        <v>268</v>
      </c>
    </row>
    <row r="95" spans="1:8">
      <c r="A95" s="14" t="s">
        <v>138</v>
      </c>
      <c r="B95" s="14" t="s">
        <v>242</v>
      </c>
      <c r="C95" s="15" t="s">
        <v>307</v>
      </c>
      <c r="D95" s="14" t="s">
        <v>259</v>
      </c>
      <c r="E95" s="15" t="s">
        <v>265</v>
      </c>
      <c r="F95" s="15" t="s">
        <v>306</v>
      </c>
      <c r="G95" s="15" t="s">
        <v>262</v>
      </c>
      <c r="H95" s="15" t="s">
        <v>268</v>
      </c>
    </row>
    <row r="96" spans="1:8">
      <c r="A96" s="18" t="s">
        <v>138</v>
      </c>
      <c r="B96" s="18" t="s">
        <v>242</v>
      </c>
      <c r="C96" s="7" t="s">
        <v>323</v>
      </c>
      <c r="D96" s="18" t="s">
        <v>259</v>
      </c>
      <c r="E96" s="7" t="s">
        <v>271</v>
      </c>
      <c r="F96" s="7" t="s">
        <v>306</v>
      </c>
      <c r="G96" s="7" t="s">
        <v>278</v>
      </c>
      <c r="H96" s="7" t="s">
        <v>268</v>
      </c>
    </row>
    <row r="97" spans="1:8">
      <c r="A97" s="16" t="s">
        <v>142</v>
      </c>
      <c r="B97" s="16" t="s">
        <v>245</v>
      </c>
      <c r="C97" s="11" t="s">
        <v>319</v>
      </c>
      <c r="D97" s="16" t="s">
        <v>259</v>
      </c>
      <c r="E97" s="11" t="s">
        <v>237</v>
      </c>
      <c r="F97" s="11" t="s">
        <v>277</v>
      </c>
      <c r="G97" s="11" t="s">
        <v>278</v>
      </c>
      <c r="H97" s="11" t="s">
        <v>263</v>
      </c>
    </row>
    <row r="98" spans="1:8">
      <c r="A98" s="16" t="s">
        <v>142</v>
      </c>
      <c r="B98" s="16" t="s">
        <v>248</v>
      </c>
      <c r="C98" s="11" t="s">
        <v>324</v>
      </c>
      <c r="D98" s="16" t="s">
        <v>259</v>
      </c>
      <c r="E98" s="11" t="s">
        <v>237</v>
      </c>
      <c r="F98" s="11" t="s">
        <v>290</v>
      </c>
      <c r="G98" s="11" t="s">
        <v>267</v>
      </c>
      <c r="H98" s="11" t="s">
        <v>271</v>
      </c>
    </row>
    <row r="99" spans="1:8">
      <c r="A99" s="18" t="s">
        <v>142</v>
      </c>
      <c r="B99" s="18" t="s">
        <v>246</v>
      </c>
      <c r="C99" s="7" t="s">
        <v>319</v>
      </c>
      <c r="D99" s="18" t="s">
        <v>259</v>
      </c>
      <c r="E99" s="7" t="s">
        <v>271</v>
      </c>
      <c r="F99" s="7" t="s">
        <v>283</v>
      </c>
      <c r="G99" s="7" t="s">
        <v>267</v>
      </c>
      <c r="H99" s="7" t="s">
        <v>271</v>
      </c>
    </row>
    <row r="100" spans="1:8">
      <c r="A100" s="16" t="s">
        <v>142</v>
      </c>
      <c r="B100" s="16" t="s">
        <v>236</v>
      </c>
      <c r="C100" s="11" t="s">
        <v>178</v>
      </c>
      <c r="D100" s="16" t="s">
        <v>259</v>
      </c>
      <c r="E100" s="11" t="s">
        <v>237</v>
      </c>
      <c r="F100" s="11" t="s">
        <v>264</v>
      </c>
      <c r="G100" s="11" t="s">
        <v>270</v>
      </c>
      <c r="H100" s="11" t="s">
        <v>268</v>
      </c>
    </row>
    <row r="101" spans="1:8">
      <c r="A101" s="14" t="s">
        <v>146</v>
      </c>
      <c r="B101" s="14" t="s">
        <v>244</v>
      </c>
      <c r="C101" s="15" t="s">
        <v>301</v>
      </c>
      <c r="D101" s="14" t="s">
        <v>259</v>
      </c>
      <c r="E101" s="15" t="s">
        <v>265</v>
      </c>
      <c r="F101" s="15" t="s">
        <v>285</v>
      </c>
      <c r="G101" s="15" t="s">
        <v>267</v>
      </c>
      <c r="H101" s="15" t="s">
        <v>268</v>
      </c>
    </row>
    <row r="102" spans="1:8">
      <c r="A102" s="18" t="s">
        <v>146</v>
      </c>
      <c r="B102" s="18" t="s">
        <v>241</v>
      </c>
      <c r="C102" s="7" t="s">
        <v>173</v>
      </c>
      <c r="D102" s="18" t="s">
        <v>259</v>
      </c>
      <c r="E102" s="7" t="s">
        <v>271</v>
      </c>
      <c r="F102" s="7" t="s">
        <v>261</v>
      </c>
      <c r="G102" s="7" t="s">
        <v>278</v>
      </c>
      <c r="H102" s="7" t="s">
        <v>263</v>
      </c>
    </row>
    <row r="103" spans="1:8">
      <c r="A103" s="17" t="s">
        <v>146</v>
      </c>
      <c r="B103" s="17" t="s">
        <v>245</v>
      </c>
      <c r="C103" s="5" t="s">
        <v>177</v>
      </c>
      <c r="D103" s="17" t="s">
        <v>259</v>
      </c>
      <c r="E103" s="5" t="s">
        <v>268</v>
      </c>
      <c r="F103" s="5" t="s">
        <v>290</v>
      </c>
      <c r="G103" s="5" t="s">
        <v>278</v>
      </c>
      <c r="H103" s="5" t="s">
        <v>279</v>
      </c>
    </row>
    <row r="104" spans="1:8">
      <c r="A104" s="3" t="s">
        <v>150</v>
      </c>
      <c r="B104" s="3" t="s">
        <v>242</v>
      </c>
      <c r="C104" s="6" t="s">
        <v>289</v>
      </c>
      <c r="D104" s="3" t="s">
        <v>259</v>
      </c>
      <c r="E104" s="6" t="s">
        <v>260</v>
      </c>
      <c r="F104" s="6" t="s">
        <v>306</v>
      </c>
      <c r="G104" s="6" t="s">
        <v>278</v>
      </c>
      <c r="H104" s="6" t="s">
        <v>263</v>
      </c>
    </row>
    <row r="105" spans="1:8">
      <c r="A105" s="16" t="s">
        <v>150</v>
      </c>
      <c r="B105" s="16" t="s">
        <v>241</v>
      </c>
      <c r="C105" s="11" t="s">
        <v>307</v>
      </c>
      <c r="D105" s="16" t="s">
        <v>259</v>
      </c>
      <c r="E105" s="11" t="s">
        <v>237</v>
      </c>
      <c r="F105" s="11" t="s">
        <v>264</v>
      </c>
      <c r="G105" s="11" t="s">
        <v>262</v>
      </c>
      <c r="H105" s="11" t="s">
        <v>268</v>
      </c>
    </row>
    <row r="106" spans="1:8">
      <c r="A106" s="16" t="s">
        <v>150</v>
      </c>
      <c r="B106" s="16" t="s">
        <v>248</v>
      </c>
      <c r="C106" s="11" t="s">
        <v>176</v>
      </c>
      <c r="D106" s="16" t="s">
        <v>259</v>
      </c>
      <c r="E106" s="11" t="s">
        <v>237</v>
      </c>
      <c r="F106" s="11" t="s">
        <v>302</v>
      </c>
      <c r="G106" s="11" t="s">
        <v>278</v>
      </c>
      <c r="H106" s="11" t="s">
        <v>271</v>
      </c>
    </row>
    <row r="107" spans="1:8">
      <c r="A107" s="18" t="s">
        <v>150</v>
      </c>
      <c r="B107" s="18" t="s">
        <v>228</v>
      </c>
      <c r="C107" s="7" t="s">
        <v>288</v>
      </c>
      <c r="D107" s="18" t="s">
        <v>259</v>
      </c>
      <c r="E107" s="7" t="s">
        <v>271</v>
      </c>
      <c r="F107" s="7" t="s">
        <v>308</v>
      </c>
      <c r="G107" s="7" t="s">
        <v>262</v>
      </c>
      <c r="H107" s="7" t="s">
        <v>271</v>
      </c>
    </row>
  </sheetData>
  <autoFilter ref="A3:H108" xr:uid="{00000000-0009-0000-0000-000005000000}"/>
  <mergeCells count="2">
    <mergeCell ref="A1:H1"/>
    <mergeCell ref="A2:H2"/>
  </mergeCells>
  <dataValidations count="1">
    <dataValidation type="list" allowBlank="1" sqref="E4:E200" xr:uid="{00000000-0002-0000-0500-000000000000}">
      <formula1>"Applied,Shortlisted,Interview Scheduled,Selected,Rejected"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"/>
  <sheetViews>
    <sheetView zoomScaleNormal="100" workbookViewId="0">
      <pane ySplit="3" topLeftCell="A4" activePane="bottomLeft" state="frozen"/>
      <selection pane="bottomLeft" sqref="A1:G1"/>
    </sheetView>
  </sheetViews>
  <sheetFormatPr defaultColWidth="8.6640625" defaultRowHeight="14.4"/>
  <cols>
    <col min="1" max="1" width="22" customWidth="1"/>
    <col min="2" max="2" width="20" customWidth="1"/>
    <col min="3" max="3" width="22" customWidth="1"/>
    <col min="4" max="4" width="12" customWidth="1"/>
    <col min="5" max="5" width="14" customWidth="1"/>
    <col min="6" max="6" width="15" customWidth="1"/>
    <col min="7" max="7" width="14" customWidth="1"/>
  </cols>
  <sheetData>
    <row r="1" spans="1:7" ht="45" customHeight="1">
      <c r="A1" s="45" t="s">
        <v>325</v>
      </c>
      <c r="B1" s="45"/>
      <c r="C1" s="45"/>
      <c r="D1" s="45"/>
      <c r="E1" s="45"/>
      <c r="F1" s="45"/>
      <c r="G1" s="45"/>
    </row>
    <row r="2" spans="1:7" ht="21.75" customHeight="1">
      <c r="A2" s="46" t="s">
        <v>326</v>
      </c>
      <c r="B2" s="46"/>
      <c r="C2" s="46"/>
      <c r="D2" s="46"/>
      <c r="E2" s="46"/>
      <c r="F2" s="46"/>
      <c r="G2" s="46"/>
    </row>
    <row r="3" spans="1:7" ht="30" customHeight="1">
      <c r="A3" s="1" t="s">
        <v>3</v>
      </c>
      <c r="B3" s="1" t="s">
        <v>221</v>
      </c>
      <c r="C3" s="1" t="s">
        <v>253</v>
      </c>
      <c r="D3" s="1" t="s">
        <v>327</v>
      </c>
      <c r="E3" s="1" t="s">
        <v>328</v>
      </c>
      <c r="F3" s="1" t="s">
        <v>329</v>
      </c>
      <c r="G3" s="1" t="s">
        <v>156</v>
      </c>
    </row>
    <row r="4" spans="1:7">
      <c r="A4" s="16" t="s">
        <v>138</v>
      </c>
      <c r="B4" s="16" t="s">
        <v>236</v>
      </c>
      <c r="C4" s="16" t="s">
        <v>259</v>
      </c>
      <c r="D4" s="11">
        <v>3.5</v>
      </c>
      <c r="E4" s="11" t="s">
        <v>330</v>
      </c>
      <c r="F4" s="11" t="s">
        <v>29</v>
      </c>
      <c r="G4" s="11" t="s">
        <v>331</v>
      </c>
    </row>
    <row r="5" spans="1:7">
      <c r="A5" s="14" t="s">
        <v>134</v>
      </c>
      <c r="B5" s="14" t="s">
        <v>235</v>
      </c>
      <c r="C5" s="14" t="s">
        <v>259</v>
      </c>
      <c r="D5" s="15">
        <v>4</v>
      </c>
      <c r="E5" s="15" t="s">
        <v>332</v>
      </c>
      <c r="F5" s="15" t="s">
        <v>333</v>
      </c>
      <c r="G5" s="15" t="s">
        <v>334</v>
      </c>
    </row>
    <row r="6" spans="1:7">
      <c r="A6" s="14" t="s">
        <v>78</v>
      </c>
      <c r="B6" s="14" t="s">
        <v>243</v>
      </c>
      <c r="C6" s="14" t="s">
        <v>259</v>
      </c>
      <c r="D6" s="15">
        <v>4.5</v>
      </c>
      <c r="E6" s="15" t="s">
        <v>335</v>
      </c>
      <c r="F6" s="15" t="s">
        <v>333</v>
      </c>
      <c r="G6" s="15" t="s">
        <v>334</v>
      </c>
    </row>
    <row r="7" spans="1:7">
      <c r="A7" s="14" t="s">
        <v>142</v>
      </c>
      <c r="B7" s="14" t="s">
        <v>242</v>
      </c>
      <c r="C7" s="14" t="s">
        <v>259</v>
      </c>
      <c r="D7" s="15">
        <v>5</v>
      </c>
      <c r="E7" s="15" t="s">
        <v>336</v>
      </c>
      <c r="F7" s="15" t="s">
        <v>333</v>
      </c>
      <c r="G7" s="15" t="s">
        <v>334</v>
      </c>
    </row>
    <row r="8" spans="1:7">
      <c r="A8" s="14" t="s">
        <v>62</v>
      </c>
      <c r="B8" s="14" t="s">
        <v>238</v>
      </c>
      <c r="C8" s="14" t="s">
        <v>259</v>
      </c>
      <c r="D8" s="15">
        <v>5.5</v>
      </c>
      <c r="E8" s="15" t="s">
        <v>337</v>
      </c>
      <c r="F8" s="15" t="s">
        <v>333</v>
      </c>
      <c r="G8" s="15" t="s">
        <v>334</v>
      </c>
    </row>
    <row r="9" spans="1:7">
      <c r="A9" s="16" t="s">
        <v>146</v>
      </c>
      <c r="B9" s="16" t="s">
        <v>240</v>
      </c>
      <c r="C9" s="16" t="s">
        <v>259</v>
      </c>
      <c r="D9" s="11">
        <v>6</v>
      </c>
      <c r="E9" s="11" t="s">
        <v>332</v>
      </c>
      <c r="F9" s="11" t="s">
        <v>29</v>
      </c>
      <c r="G9" s="11" t="s">
        <v>331</v>
      </c>
    </row>
    <row r="10" spans="1:7">
      <c r="A10" s="16" t="s">
        <v>150</v>
      </c>
      <c r="B10" s="16" t="s">
        <v>245</v>
      </c>
      <c r="C10" s="16" t="s">
        <v>259</v>
      </c>
      <c r="D10" s="11">
        <v>6.5</v>
      </c>
      <c r="E10" s="11" t="s">
        <v>338</v>
      </c>
      <c r="F10" s="11" t="s">
        <v>29</v>
      </c>
      <c r="G10" s="11" t="s">
        <v>331</v>
      </c>
    </row>
    <row r="11" spans="1:7">
      <c r="A11" s="14" t="s">
        <v>122</v>
      </c>
      <c r="B11" s="14" t="s">
        <v>236</v>
      </c>
      <c r="C11" s="14" t="s">
        <v>259</v>
      </c>
      <c r="D11" s="15">
        <v>7</v>
      </c>
      <c r="E11" s="15" t="s">
        <v>332</v>
      </c>
      <c r="F11" s="15" t="s">
        <v>333</v>
      </c>
      <c r="G11" s="15" t="s">
        <v>334</v>
      </c>
    </row>
    <row r="12" spans="1:7">
      <c r="A12" s="16" t="s">
        <v>49</v>
      </c>
      <c r="B12" s="16" t="s">
        <v>235</v>
      </c>
      <c r="C12" s="16" t="s">
        <v>259</v>
      </c>
      <c r="D12" s="11">
        <v>3.8</v>
      </c>
      <c r="E12" s="11" t="s">
        <v>339</v>
      </c>
      <c r="F12" s="11" t="s">
        <v>29</v>
      </c>
      <c r="G12" s="11" t="s">
        <v>331</v>
      </c>
    </row>
    <row r="13" spans="1:7">
      <c r="A13" s="14" t="s">
        <v>114</v>
      </c>
      <c r="B13" s="14" t="s">
        <v>236</v>
      </c>
      <c r="C13" s="14" t="s">
        <v>259</v>
      </c>
      <c r="D13" s="15">
        <v>4.2</v>
      </c>
      <c r="E13" s="15" t="s">
        <v>340</v>
      </c>
      <c r="F13" s="15" t="s">
        <v>333</v>
      </c>
      <c r="G13" s="15" t="s">
        <v>334</v>
      </c>
    </row>
    <row r="14" spans="1:7">
      <c r="A14" s="17" t="s">
        <v>54</v>
      </c>
      <c r="B14" s="17" t="s">
        <v>245</v>
      </c>
      <c r="C14" s="17" t="s">
        <v>259</v>
      </c>
      <c r="D14" s="5">
        <v>4.8</v>
      </c>
      <c r="E14" s="5" t="s">
        <v>341</v>
      </c>
      <c r="F14" s="5" t="s">
        <v>333</v>
      </c>
      <c r="G14" s="5" t="s">
        <v>342</v>
      </c>
    </row>
    <row r="15" spans="1:7">
      <c r="A15" s="17" t="s">
        <v>66</v>
      </c>
      <c r="B15" s="17" t="s">
        <v>248</v>
      </c>
      <c r="C15" s="17" t="s">
        <v>259</v>
      </c>
      <c r="D15" s="5">
        <v>5.2</v>
      </c>
      <c r="E15" s="5" t="s">
        <v>332</v>
      </c>
      <c r="F15" s="5" t="s">
        <v>333</v>
      </c>
      <c r="G15" s="5" t="s">
        <v>342</v>
      </c>
    </row>
    <row r="16" spans="1:7">
      <c r="A16" s="14" t="s">
        <v>126</v>
      </c>
      <c r="B16" s="14" t="s">
        <v>245</v>
      </c>
      <c r="C16" s="14" t="s">
        <v>259</v>
      </c>
      <c r="D16" s="15">
        <v>6.2</v>
      </c>
      <c r="E16" s="15" t="s">
        <v>343</v>
      </c>
      <c r="F16" s="15" t="s">
        <v>333</v>
      </c>
      <c r="G16" s="15" t="s">
        <v>334</v>
      </c>
    </row>
    <row r="17" spans="1:7">
      <c r="A17" s="14" t="s">
        <v>74</v>
      </c>
      <c r="B17" s="14" t="s">
        <v>243</v>
      </c>
      <c r="C17" s="14" t="s">
        <v>259</v>
      </c>
      <c r="D17" s="15">
        <v>7.5</v>
      </c>
      <c r="E17" s="15" t="s">
        <v>344</v>
      </c>
      <c r="F17" s="15" t="s">
        <v>333</v>
      </c>
      <c r="G17" s="15" t="s">
        <v>334</v>
      </c>
    </row>
    <row r="18" spans="1:7">
      <c r="A18" s="16" t="s">
        <v>130</v>
      </c>
      <c r="B18" s="16" t="s">
        <v>228</v>
      </c>
      <c r="C18" s="16" t="s">
        <v>259</v>
      </c>
      <c r="D18" s="11">
        <v>8</v>
      </c>
      <c r="E18" s="11" t="s">
        <v>330</v>
      </c>
      <c r="F18" s="11" t="s">
        <v>29</v>
      </c>
      <c r="G18" s="11" t="s">
        <v>331</v>
      </c>
    </row>
    <row r="20" spans="1:7">
      <c r="A20" s="19" t="s">
        <v>345</v>
      </c>
      <c r="B20" s="19" t="s">
        <v>346</v>
      </c>
      <c r="C20" s="19">
        <f>COUNTIF(G4:G18,"Placed")+COUNTIF(G4:G18,"Joined")</f>
        <v>10</v>
      </c>
      <c r="D20" s="19" t="s">
        <v>347</v>
      </c>
      <c r="E20" s="20">
        <f>AVERAGE(D4:D18)</f>
        <v>5.4466666666666672</v>
      </c>
      <c r="F20" s="19"/>
      <c r="G20" s="19"/>
    </row>
  </sheetData>
  <autoFilter ref="A3:G18" xr:uid="{00000000-0009-0000-0000-000006000000}"/>
  <mergeCells count="2">
    <mergeCell ref="A1:G1"/>
    <mergeCell ref="A2:G2"/>
  </mergeCells>
  <dataValidations count="1">
    <dataValidation type="list" allowBlank="1" sqref="G4:G100" xr:uid="{00000000-0002-0000-0600-000000000000}">
      <formula1>"Placed,Offer Pending,Joined,Not Placed"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3"/>
  <sheetViews>
    <sheetView zoomScaleNormal="100" workbookViewId="0">
      <pane ySplit="3" topLeftCell="A4" activePane="bottomLeft" state="frozen"/>
      <selection pane="bottomLeft" sqref="A1:G1"/>
    </sheetView>
  </sheetViews>
  <sheetFormatPr defaultColWidth="8.6640625" defaultRowHeight="14.4"/>
  <cols>
    <col min="1" max="1" width="14" customWidth="1"/>
    <col min="2" max="2" width="22" customWidth="1"/>
    <col min="3" max="3" width="14" customWidth="1"/>
    <col min="4" max="4" width="18" customWidth="1"/>
    <col min="5" max="5" width="20" customWidth="1"/>
    <col min="6" max="7" width="16" customWidth="1"/>
  </cols>
  <sheetData>
    <row r="1" spans="1:7" ht="45" customHeight="1">
      <c r="A1" s="45" t="s">
        <v>348</v>
      </c>
      <c r="B1" s="45"/>
      <c r="C1" s="45"/>
      <c r="D1" s="45"/>
      <c r="E1" s="45"/>
      <c r="F1" s="45"/>
      <c r="G1" s="45"/>
    </row>
    <row r="2" spans="1:7" ht="21.75" customHeight="1">
      <c r="A2" s="46" t="s">
        <v>349</v>
      </c>
      <c r="B2" s="46"/>
      <c r="C2" s="46"/>
      <c r="D2" s="46"/>
      <c r="E2" s="46"/>
      <c r="F2" s="46"/>
      <c r="G2" s="46"/>
    </row>
    <row r="3" spans="1:7" ht="30" customHeight="1">
      <c r="A3" s="1" t="s">
        <v>155</v>
      </c>
      <c r="B3" s="1" t="s">
        <v>3</v>
      </c>
      <c r="C3" s="1" t="s">
        <v>350</v>
      </c>
      <c r="D3" s="1" t="s">
        <v>351</v>
      </c>
      <c r="E3" s="1" t="s">
        <v>352</v>
      </c>
      <c r="F3" s="1" t="s">
        <v>353</v>
      </c>
      <c r="G3" s="1" t="s">
        <v>156</v>
      </c>
    </row>
    <row r="4" spans="1:7">
      <c r="A4" s="4" t="s">
        <v>218</v>
      </c>
      <c r="B4" s="4" t="s">
        <v>23</v>
      </c>
      <c r="C4" s="4">
        <v>1</v>
      </c>
      <c r="D4" s="4">
        <v>10</v>
      </c>
      <c r="E4" s="4">
        <v>1</v>
      </c>
      <c r="F4" s="4" t="s">
        <v>354</v>
      </c>
      <c r="G4" s="5" t="s">
        <v>355</v>
      </c>
    </row>
    <row r="5" spans="1:7">
      <c r="A5" s="6" t="s">
        <v>218</v>
      </c>
      <c r="B5" s="6" t="s">
        <v>32</v>
      </c>
      <c r="C5" s="6">
        <v>2</v>
      </c>
      <c r="D5" s="6">
        <v>5</v>
      </c>
      <c r="E5" s="6">
        <v>2</v>
      </c>
      <c r="F5" s="6" t="s">
        <v>354</v>
      </c>
      <c r="G5" s="5" t="s">
        <v>355</v>
      </c>
    </row>
    <row r="6" spans="1:7">
      <c r="A6" s="4" t="s">
        <v>218</v>
      </c>
      <c r="B6" s="4" t="s">
        <v>38</v>
      </c>
      <c r="C6" s="4">
        <v>0</v>
      </c>
      <c r="D6" s="4">
        <v>4</v>
      </c>
      <c r="E6" s="4">
        <v>0</v>
      </c>
      <c r="F6" s="4" t="s">
        <v>354</v>
      </c>
      <c r="G6" s="7" t="s">
        <v>356</v>
      </c>
    </row>
    <row r="7" spans="1:7">
      <c r="A7" s="6" t="s">
        <v>218</v>
      </c>
      <c r="B7" s="6" t="s">
        <v>44</v>
      </c>
      <c r="C7" s="6">
        <v>1</v>
      </c>
      <c r="D7" s="6">
        <v>10</v>
      </c>
      <c r="E7" s="6">
        <v>1</v>
      </c>
      <c r="F7" s="6" t="s">
        <v>354</v>
      </c>
      <c r="G7" s="5" t="s">
        <v>355</v>
      </c>
    </row>
    <row r="8" spans="1:7">
      <c r="A8" s="4" t="s">
        <v>218</v>
      </c>
      <c r="B8" s="4" t="s">
        <v>49</v>
      </c>
      <c r="C8" s="4">
        <v>2</v>
      </c>
      <c r="D8" s="4">
        <v>2</v>
      </c>
      <c r="E8" s="4">
        <v>4</v>
      </c>
      <c r="F8" s="4" t="s">
        <v>333</v>
      </c>
      <c r="G8" s="5" t="s">
        <v>355</v>
      </c>
    </row>
    <row r="9" spans="1:7">
      <c r="A9" s="6" t="s">
        <v>218</v>
      </c>
      <c r="B9" s="6" t="s">
        <v>54</v>
      </c>
      <c r="C9" s="6">
        <v>1</v>
      </c>
      <c r="D9" s="6">
        <v>5</v>
      </c>
      <c r="E9" s="6">
        <v>3</v>
      </c>
      <c r="F9" s="6" t="s">
        <v>333</v>
      </c>
      <c r="G9" s="5" t="s">
        <v>355</v>
      </c>
    </row>
    <row r="10" spans="1:7">
      <c r="A10" s="4" t="s">
        <v>218</v>
      </c>
      <c r="B10" s="4" t="s">
        <v>58</v>
      </c>
      <c r="C10" s="4">
        <v>0</v>
      </c>
      <c r="D10" s="4">
        <v>5</v>
      </c>
      <c r="E10" s="4">
        <v>0</v>
      </c>
      <c r="F10" s="4" t="s">
        <v>354</v>
      </c>
      <c r="G10" s="7" t="s">
        <v>356</v>
      </c>
    </row>
    <row r="11" spans="1:7">
      <c r="A11" s="6" t="s">
        <v>218</v>
      </c>
      <c r="B11" s="6" t="s">
        <v>62</v>
      </c>
      <c r="C11" s="6">
        <v>0</v>
      </c>
      <c r="D11" s="6">
        <v>1</v>
      </c>
      <c r="E11" s="6">
        <v>4</v>
      </c>
      <c r="F11" s="6" t="s">
        <v>354</v>
      </c>
      <c r="G11" s="7" t="s">
        <v>356</v>
      </c>
    </row>
    <row r="12" spans="1:7">
      <c r="A12" s="4" t="s">
        <v>218</v>
      </c>
      <c r="B12" s="4" t="s">
        <v>66</v>
      </c>
      <c r="C12" s="4">
        <v>1</v>
      </c>
      <c r="D12" s="4">
        <v>2</v>
      </c>
      <c r="E12" s="4">
        <v>3</v>
      </c>
      <c r="F12" s="4" t="s">
        <v>333</v>
      </c>
      <c r="G12" s="5" t="s">
        <v>355</v>
      </c>
    </row>
    <row r="13" spans="1:7">
      <c r="A13" s="6" t="s">
        <v>218</v>
      </c>
      <c r="B13" s="6" t="s">
        <v>70</v>
      </c>
      <c r="C13" s="6">
        <v>0</v>
      </c>
      <c r="D13" s="6">
        <v>6</v>
      </c>
      <c r="E13" s="6">
        <v>5</v>
      </c>
      <c r="F13" s="6" t="s">
        <v>354</v>
      </c>
      <c r="G13" s="11" t="s">
        <v>357</v>
      </c>
    </row>
    <row r="14" spans="1:7">
      <c r="A14" s="4" t="s">
        <v>218</v>
      </c>
      <c r="B14" s="4" t="s">
        <v>74</v>
      </c>
      <c r="C14" s="4">
        <v>0</v>
      </c>
      <c r="D14" s="4">
        <v>4</v>
      </c>
      <c r="E14" s="4">
        <v>5</v>
      </c>
      <c r="F14" s="4" t="s">
        <v>333</v>
      </c>
      <c r="G14" s="7" t="s">
        <v>356</v>
      </c>
    </row>
    <row r="15" spans="1:7">
      <c r="A15" s="6" t="s">
        <v>218</v>
      </c>
      <c r="B15" s="6" t="s">
        <v>78</v>
      </c>
      <c r="C15" s="6">
        <v>2</v>
      </c>
      <c r="D15" s="6">
        <v>7</v>
      </c>
      <c r="E15" s="6">
        <v>5</v>
      </c>
      <c r="F15" s="6" t="s">
        <v>333</v>
      </c>
      <c r="G15" s="5" t="s">
        <v>355</v>
      </c>
    </row>
    <row r="16" spans="1:7">
      <c r="A16" s="4" t="s">
        <v>218</v>
      </c>
      <c r="B16" s="4" t="s">
        <v>82</v>
      </c>
      <c r="C16" s="4">
        <v>1</v>
      </c>
      <c r="D16" s="4">
        <v>9</v>
      </c>
      <c r="E16" s="4">
        <v>0</v>
      </c>
      <c r="F16" s="4" t="s">
        <v>354</v>
      </c>
      <c r="G16" s="5" t="s">
        <v>355</v>
      </c>
    </row>
    <row r="17" spans="1:7">
      <c r="A17" s="6" t="s">
        <v>218</v>
      </c>
      <c r="B17" s="6" t="s">
        <v>86</v>
      </c>
      <c r="C17" s="6">
        <v>2</v>
      </c>
      <c r="D17" s="6">
        <v>5</v>
      </c>
      <c r="E17" s="6">
        <v>5</v>
      </c>
      <c r="F17" s="6" t="s">
        <v>354</v>
      </c>
      <c r="G17" s="5" t="s">
        <v>355</v>
      </c>
    </row>
    <row r="18" spans="1:7">
      <c r="A18" s="4" t="s">
        <v>218</v>
      </c>
      <c r="B18" s="4" t="s">
        <v>90</v>
      </c>
      <c r="C18" s="4">
        <v>1</v>
      </c>
      <c r="D18" s="4">
        <v>10</v>
      </c>
      <c r="E18" s="4">
        <v>5</v>
      </c>
      <c r="F18" s="4" t="s">
        <v>354</v>
      </c>
      <c r="G18" s="5" t="s">
        <v>355</v>
      </c>
    </row>
    <row r="19" spans="1:7">
      <c r="A19" s="6" t="s">
        <v>218</v>
      </c>
      <c r="B19" s="6" t="s">
        <v>94</v>
      </c>
      <c r="C19" s="6">
        <v>1</v>
      </c>
      <c r="D19" s="6">
        <v>5</v>
      </c>
      <c r="E19" s="6">
        <v>2</v>
      </c>
      <c r="F19" s="6" t="s">
        <v>354</v>
      </c>
      <c r="G19" s="5" t="s">
        <v>355</v>
      </c>
    </row>
    <row r="20" spans="1:7">
      <c r="A20" s="4" t="s">
        <v>218</v>
      </c>
      <c r="B20" s="4" t="s">
        <v>98</v>
      </c>
      <c r="C20" s="4">
        <v>0</v>
      </c>
      <c r="D20" s="4">
        <v>10</v>
      </c>
      <c r="E20" s="4">
        <v>5</v>
      </c>
      <c r="F20" s="4" t="s">
        <v>333</v>
      </c>
      <c r="G20" s="11" t="s">
        <v>357</v>
      </c>
    </row>
    <row r="21" spans="1:7">
      <c r="A21" s="6" t="s">
        <v>218</v>
      </c>
      <c r="B21" s="6" t="s">
        <v>102</v>
      </c>
      <c r="C21" s="6">
        <v>1</v>
      </c>
      <c r="D21" s="6">
        <v>7</v>
      </c>
      <c r="E21" s="6">
        <v>0</v>
      </c>
      <c r="F21" s="6" t="s">
        <v>333</v>
      </c>
      <c r="G21" s="5" t="s">
        <v>355</v>
      </c>
    </row>
    <row r="22" spans="1:7">
      <c r="A22" s="4" t="s">
        <v>218</v>
      </c>
      <c r="B22" s="4" t="s">
        <v>106</v>
      </c>
      <c r="C22" s="4">
        <v>2</v>
      </c>
      <c r="D22" s="4">
        <v>0</v>
      </c>
      <c r="E22" s="4">
        <v>2</v>
      </c>
      <c r="F22" s="4" t="s">
        <v>354</v>
      </c>
      <c r="G22" s="5" t="s">
        <v>355</v>
      </c>
    </row>
    <row r="23" spans="1:7">
      <c r="A23" s="6" t="s">
        <v>218</v>
      </c>
      <c r="B23" s="6" t="s">
        <v>110</v>
      </c>
      <c r="C23" s="6">
        <v>0</v>
      </c>
      <c r="D23" s="6">
        <v>9</v>
      </c>
      <c r="E23" s="6">
        <v>1</v>
      </c>
      <c r="F23" s="6" t="s">
        <v>333</v>
      </c>
      <c r="G23" s="7" t="s">
        <v>356</v>
      </c>
    </row>
    <row r="24" spans="1:7">
      <c r="A24" s="4" t="s">
        <v>305</v>
      </c>
      <c r="B24" s="4" t="s">
        <v>23</v>
      </c>
      <c r="C24" s="4">
        <v>1</v>
      </c>
      <c r="D24" s="4">
        <v>5</v>
      </c>
      <c r="E24" s="4">
        <v>5</v>
      </c>
      <c r="F24" s="4" t="s">
        <v>354</v>
      </c>
      <c r="G24" s="5" t="s">
        <v>355</v>
      </c>
    </row>
    <row r="25" spans="1:7">
      <c r="A25" s="6" t="s">
        <v>305</v>
      </c>
      <c r="B25" s="6" t="s">
        <v>32</v>
      </c>
      <c r="C25" s="6">
        <v>0</v>
      </c>
      <c r="D25" s="6">
        <v>4</v>
      </c>
      <c r="E25" s="6">
        <v>0</v>
      </c>
      <c r="F25" s="6" t="s">
        <v>333</v>
      </c>
      <c r="G25" s="7" t="s">
        <v>356</v>
      </c>
    </row>
    <row r="26" spans="1:7">
      <c r="A26" s="4" t="s">
        <v>305</v>
      </c>
      <c r="B26" s="4" t="s">
        <v>38</v>
      </c>
      <c r="C26" s="4">
        <v>2</v>
      </c>
      <c r="D26" s="4">
        <v>9</v>
      </c>
      <c r="E26" s="4">
        <v>2</v>
      </c>
      <c r="F26" s="4" t="s">
        <v>354</v>
      </c>
      <c r="G26" s="5" t="s">
        <v>355</v>
      </c>
    </row>
    <row r="27" spans="1:7">
      <c r="A27" s="6" t="s">
        <v>305</v>
      </c>
      <c r="B27" s="6" t="s">
        <v>44</v>
      </c>
      <c r="C27" s="6">
        <v>2</v>
      </c>
      <c r="D27" s="6">
        <v>7</v>
      </c>
      <c r="E27" s="6">
        <v>3</v>
      </c>
      <c r="F27" s="6" t="s">
        <v>354</v>
      </c>
      <c r="G27" s="5" t="s">
        <v>355</v>
      </c>
    </row>
    <row r="28" spans="1:7">
      <c r="A28" s="4" t="s">
        <v>305</v>
      </c>
      <c r="B28" s="4" t="s">
        <v>49</v>
      </c>
      <c r="C28" s="4">
        <v>1</v>
      </c>
      <c r="D28" s="4">
        <v>3</v>
      </c>
      <c r="E28" s="4">
        <v>1</v>
      </c>
      <c r="F28" s="4" t="s">
        <v>354</v>
      </c>
      <c r="G28" s="11" t="s">
        <v>357</v>
      </c>
    </row>
    <row r="29" spans="1:7">
      <c r="A29" s="6" t="s">
        <v>305</v>
      </c>
      <c r="B29" s="6" t="s">
        <v>54</v>
      </c>
      <c r="C29" s="6">
        <v>1</v>
      </c>
      <c r="D29" s="6">
        <v>1</v>
      </c>
      <c r="E29" s="6">
        <v>1</v>
      </c>
      <c r="F29" s="6" t="s">
        <v>354</v>
      </c>
      <c r="G29" s="11" t="s">
        <v>357</v>
      </c>
    </row>
    <row r="30" spans="1:7">
      <c r="A30" s="4" t="s">
        <v>305</v>
      </c>
      <c r="B30" s="4" t="s">
        <v>58</v>
      </c>
      <c r="C30" s="4">
        <v>1</v>
      </c>
      <c r="D30" s="4">
        <v>6</v>
      </c>
      <c r="E30" s="4">
        <v>5</v>
      </c>
      <c r="F30" s="4" t="s">
        <v>333</v>
      </c>
      <c r="G30" s="5" t="s">
        <v>355</v>
      </c>
    </row>
    <row r="31" spans="1:7">
      <c r="A31" s="6" t="s">
        <v>305</v>
      </c>
      <c r="B31" s="6" t="s">
        <v>62</v>
      </c>
      <c r="C31" s="6">
        <v>0</v>
      </c>
      <c r="D31" s="6">
        <v>8</v>
      </c>
      <c r="E31" s="6">
        <v>1</v>
      </c>
      <c r="F31" s="6" t="s">
        <v>354</v>
      </c>
      <c r="G31" s="7" t="s">
        <v>356</v>
      </c>
    </row>
    <row r="32" spans="1:7">
      <c r="A32" s="4" t="s">
        <v>305</v>
      </c>
      <c r="B32" s="4" t="s">
        <v>66</v>
      </c>
      <c r="C32" s="4">
        <v>1</v>
      </c>
      <c r="D32" s="4">
        <v>0</v>
      </c>
      <c r="E32" s="4">
        <v>4</v>
      </c>
      <c r="F32" s="4" t="s">
        <v>333</v>
      </c>
      <c r="G32" s="5" t="s">
        <v>355</v>
      </c>
    </row>
    <row r="33" spans="1:7">
      <c r="A33" s="6" t="s">
        <v>305</v>
      </c>
      <c r="B33" s="6" t="s">
        <v>70</v>
      </c>
      <c r="C33" s="6">
        <v>0</v>
      </c>
      <c r="D33" s="6">
        <v>0</v>
      </c>
      <c r="E33" s="6">
        <v>1</v>
      </c>
      <c r="F33" s="6" t="s">
        <v>333</v>
      </c>
      <c r="G33" s="7" t="s">
        <v>356</v>
      </c>
    </row>
    <row r="34" spans="1:7">
      <c r="A34" s="4" t="s">
        <v>305</v>
      </c>
      <c r="B34" s="4" t="s">
        <v>74</v>
      </c>
      <c r="C34" s="4">
        <v>0</v>
      </c>
      <c r="D34" s="4">
        <v>10</v>
      </c>
      <c r="E34" s="4">
        <v>1</v>
      </c>
      <c r="F34" s="4" t="s">
        <v>333</v>
      </c>
      <c r="G34" s="7" t="s">
        <v>356</v>
      </c>
    </row>
    <row r="35" spans="1:7">
      <c r="A35" s="6" t="s">
        <v>305</v>
      </c>
      <c r="B35" s="6" t="s">
        <v>78</v>
      </c>
      <c r="C35" s="6">
        <v>1</v>
      </c>
      <c r="D35" s="6">
        <v>1</v>
      </c>
      <c r="E35" s="6">
        <v>1</v>
      </c>
      <c r="F35" s="6" t="s">
        <v>354</v>
      </c>
      <c r="G35" s="11" t="s">
        <v>357</v>
      </c>
    </row>
    <row r="36" spans="1:7">
      <c r="A36" s="4" t="s">
        <v>305</v>
      </c>
      <c r="B36" s="4" t="s">
        <v>82</v>
      </c>
      <c r="C36" s="4">
        <v>2</v>
      </c>
      <c r="D36" s="4">
        <v>7</v>
      </c>
      <c r="E36" s="4">
        <v>2</v>
      </c>
      <c r="F36" s="4" t="s">
        <v>333</v>
      </c>
      <c r="G36" s="5" t="s">
        <v>355</v>
      </c>
    </row>
    <row r="37" spans="1:7">
      <c r="A37" s="6" t="s">
        <v>305</v>
      </c>
      <c r="B37" s="6" t="s">
        <v>86</v>
      </c>
      <c r="C37" s="6">
        <v>0</v>
      </c>
      <c r="D37" s="6">
        <v>2</v>
      </c>
      <c r="E37" s="6">
        <v>4</v>
      </c>
      <c r="F37" s="6" t="s">
        <v>354</v>
      </c>
      <c r="G37" s="7" t="s">
        <v>356</v>
      </c>
    </row>
    <row r="38" spans="1:7">
      <c r="A38" s="4" t="s">
        <v>305</v>
      </c>
      <c r="B38" s="4" t="s">
        <v>90</v>
      </c>
      <c r="C38" s="4">
        <v>0</v>
      </c>
      <c r="D38" s="4">
        <v>9</v>
      </c>
      <c r="E38" s="4">
        <v>5</v>
      </c>
      <c r="F38" s="4" t="s">
        <v>333</v>
      </c>
      <c r="G38" s="11" t="s">
        <v>357</v>
      </c>
    </row>
    <row r="39" spans="1:7">
      <c r="A39" s="6" t="s">
        <v>305</v>
      </c>
      <c r="B39" s="6" t="s">
        <v>94</v>
      </c>
      <c r="C39" s="6">
        <v>1</v>
      </c>
      <c r="D39" s="6">
        <v>10</v>
      </c>
      <c r="E39" s="6">
        <v>5</v>
      </c>
      <c r="F39" s="6" t="s">
        <v>354</v>
      </c>
      <c r="G39" s="5" t="s">
        <v>355</v>
      </c>
    </row>
    <row r="40" spans="1:7">
      <c r="A40" s="4" t="s">
        <v>305</v>
      </c>
      <c r="B40" s="4" t="s">
        <v>98</v>
      </c>
      <c r="C40" s="4">
        <v>0</v>
      </c>
      <c r="D40" s="4">
        <v>7</v>
      </c>
      <c r="E40" s="4">
        <v>1</v>
      </c>
      <c r="F40" s="4" t="s">
        <v>333</v>
      </c>
      <c r="G40" s="7" t="s">
        <v>356</v>
      </c>
    </row>
    <row r="41" spans="1:7">
      <c r="A41" s="6" t="s">
        <v>305</v>
      </c>
      <c r="B41" s="6" t="s">
        <v>102</v>
      </c>
      <c r="C41" s="6">
        <v>0</v>
      </c>
      <c r="D41" s="6">
        <v>9</v>
      </c>
      <c r="E41" s="6">
        <v>1</v>
      </c>
      <c r="F41" s="6" t="s">
        <v>333</v>
      </c>
      <c r="G41" s="7" t="s">
        <v>356</v>
      </c>
    </row>
    <row r="42" spans="1:7">
      <c r="A42" s="4" t="s">
        <v>305</v>
      </c>
      <c r="B42" s="4" t="s">
        <v>106</v>
      </c>
      <c r="C42" s="4">
        <v>1</v>
      </c>
      <c r="D42" s="4">
        <v>9</v>
      </c>
      <c r="E42" s="4">
        <v>2</v>
      </c>
      <c r="F42" s="4" t="s">
        <v>333</v>
      </c>
      <c r="G42" s="5" t="s">
        <v>355</v>
      </c>
    </row>
    <row r="43" spans="1:7">
      <c r="A43" s="6" t="s">
        <v>305</v>
      </c>
      <c r="B43" s="6" t="s">
        <v>110</v>
      </c>
      <c r="C43" s="6">
        <v>2</v>
      </c>
      <c r="D43" s="6">
        <v>3</v>
      </c>
      <c r="E43" s="6">
        <v>2</v>
      </c>
      <c r="F43" s="6" t="s">
        <v>354</v>
      </c>
      <c r="G43" s="5" t="s">
        <v>355</v>
      </c>
    </row>
    <row r="44" spans="1:7">
      <c r="A44" s="4" t="s">
        <v>280</v>
      </c>
      <c r="B44" s="4" t="s">
        <v>23</v>
      </c>
      <c r="C44" s="4">
        <v>0</v>
      </c>
      <c r="D44" s="4">
        <v>4</v>
      </c>
      <c r="E44" s="4">
        <v>4</v>
      </c>
      <c r="F44" s="4" t="s">
        <v>354</v>
      </c>
      <c r="G44" s="7" t="s">
        <v>356</v>
      </c>
    </row>
    <row r="45" spans="1:7">
      <c r="A45" s="6" t="s">
        <v>280</v>
      </c>
      <c r="B45" s="6" t="s">
        <v>32</v>
      </c>
      <c r="C45" s="6">
        <v>2</v>
      </c>
      <c r="D45" s="6">
        <v>8</v>
      </c>
      <c r="E45" s="6">
        <v>5</v>
      </c>
      <c r="F45" s="6" t="s">
        <v>354</v>
      </c>
      <c r="G45" s="5" t="s">
        <v>355</v>
      </c>
    </row>
    <row r="46" spans="1:7">
      <c r="A46" s="4" t="s">
        <v>280</v>
      </c>
      <c r="B46" s="4" t="s">
        <v>38</v>
      </c>
      <c r="C46" s="4">
        <v>2</v>
      </c>
      <c r="D46" s="4">
        <v>6</v>
      </c>
      <c r="E46" s="4">
        <v>0</v>
      </c>
      <c r="F46" s="4" t="s">
        <v>333</v>
      </c>
      <c r="G46" s="5" t="s">
        <v>355</v>
      </c>
    </row>
    <row r="47" spans="1:7">
      <c r="A47" s="6" t="s">
        <v>280</v>
      </c>
      <c r="B47" s="6" t="s">
        <v>44</v>
      </c>
      <c r="C47" s="6">
        <v>0</v>
      </c>
      <c r="D47" s="6">
        <v>9</v>
      </c>
      <c r="E47" s="6">
        <v>5</v>
      </c>
      <c r="F47" s="6" t="s">
        <v>354</v>
      </c>
      <c r="G47" s="11" t="s">
        <v>357</v>
      </c>
    </row>
    <row r="48" spans="1:7">
      <c r="A48" s="4" t="s">
        <v>280</v>
      </c>
      <c r="B48" s="4" t="s">
        <v>49</v>
      </c>
      <c r="C48" s="4">
        <v>2</v>
      </c>
      <c r="D48" s="4">
        <v>10</v>
      </c>
      <c r="E48" s="4">
        <v>3</v>
      </c>
      <c r="F48" s="4" t="s">
        <v>354</v>
      </c>
      <c r="G48" s="5" t="s">
        <v>355</v>
      </c>
    </row>
    <row r="49" spans="1:7">
      <c r="A49" s="6" t="s">
        <v>280</v>
      </c>
      <c r="B49" s="6" t="s">
        <v>54</v>
      </c>
      <c r="C49" s="6">
        <v>0</v>
      </c>
      <c r="D49" s="6">
        <v>7</v>
      </c>
      <c r="E49" s="6">
        <v>4</v>
      </c>
      <c r="F49" s="6" t="s">
        <v>354</v>
      </c>
      <c r="G49" s="11" t="s">
        <v>357</v>
      </c>
    </row>
    <row r="50" spans="1:7">
      <c r="A50" s="4" t="s">
        <v>280</v>
      </c>
      <c r="B50" s="4" t="s">
        <v>58</v>
      </c>
      <c r="C50" s="4">
        <v>1</v>
      </c>
      <c r="D50" s="4">
        <v>8</v>
      </c>
      <c r="E50" s="4">
        <v>1</v>
      </c>
      <c r="F50" s="4" t="s">
        <v>333</v>
      </c>
      <c r="G50" s="5" t="s">
        <v>355</v>
      </c>
    </row>
    <row r="51" spans="1:7">
      <c r="A51" s="6" t="s">
        <v>280</v>
      </c>
      <c r="B51" s="6" t="s">
        <v>62</v>
      </c>
      <c r="C51" s="6">
        <v>2</v>
      </c>
      <c r="D51" s="6">
        <v>9</v>
      </c>
      <c r="E51" s="6">
        <v>2</v>
      </c>
      <c r="F51" s="6" t="s">
        <v>333</v>
      </c>
      <c r="G51" s="5" t="s">
        <v>355</v>
      </c>
    </row>
    <row r="52" spans="1:7">
      <c r="A52" s="4" t="s">
        <v>280</v>
      </c>
      <c r="B52" s="4" t="s">
        <v>66</v>
      </c>
      <c r="C52" s="4">
        <v>0</v>
      </c>
      <c r="D52" s="4">
        <v>10</v>
      </c>
      <c r="E52" s="4">
        <v>0</v>
      </c>
      <c r="F52" s="4" t="s">
        <v>333</v>
      </c>
      <c r="G52" s="7" t="s">
        <v>356</v>
      </c>
    </row>
    <row r="53" spans="1:7">
      <c r="A53" s="6" t="s">
        <v>280</v>
      </c>
      <c r="B53" s="6" t="s">
        <v>70</v>
      </c>
      <c r="C53" s="6">
        <v>0</v>
      </c>
      <c r="D53" s="6">
        <v>7</v>
      </c>
      <c r="E53" s="6">
        <v>5</v>
      </c>
      <c r="F53" s="6" t="s">
        <v>354</v>
      </c>
      <c r="G53" s="11" t="s">
        <v>357</v>
      </c>
    </row>
    <row r="54" spans="1:7">
      <c r="A54" s="4" t="s">
        <v>280</v>
      </c>
      <c r="B54" s="4" t="s">
        <v>74</v>
      </c>
      <c r="C54" s="4">
        <v>1</v>
      </c>
      <c r="D54" s="4">
        <v>10</v>
      </c>
      <c r="E54" s="4">
        <v>3</v>
      </c>
      <c r="F54" s="4" t="s">
        <v>354</v>
      </c>
      <c r="G54" s="5" t="s">
        <v>355</v>
      </c>
    </row>
    <row r="55" spans="1:7">
      <c r="A55" s="6" t="s">
        <v>280</v>
      </c>
      <c r="B55" s="6" t="s">
        <v>78</v>
      </c>
      <c r="C55" s="6">
        <v>2</v>
      </c>
      <c r="D55" s="6">
        <v>4</v>
      </c>
      <c r="E55" s="6">
        <v>5</v>
      </c>
      <c r="F55" s="6" t="s">
        <v>333</v>
      </c>
      <c r="G55" s="5" t="s">
        <v>355</v>
      </c>
    </row>
    <row r="56" spans="1:7">
      <c r="A56" s="4" t="s">
        <v>280</v>
      </c>
      <c r="B56" s="4" t="s">
        <v>82</v>
      </c>
      <c r="C56" s="4">
        <v>0</v>
      </c>
      <c r="D56" s="4">
        <v>5</v>
      </c>
      <c r="E56" s="4">
        <v>1</v>
      </c>
      <c r="F56" s="4" t="s">
        <v>354</v>
      </c>
      <c r="G56" s="7" t="s">
        <v>356</v>
      </c>
    </row>
    <row r="57" spans="1:7">
      <c r="A57" s="6" t="s">
        <v>280</v>
      </c>
      <c r="B57" s="6" t="s">
        <v>86</v>
      </c>
      <c r="C57" s="6">
        <v>1</v>
      </c>
      <c r="D57" s="6">
        <v>3</v>
      </c>
      <c r="E57" s="6">
        <v>1</v>
      </c>
      <c r="F57" s="6" t="s">
        <v>354</v>
      </c>
      <c r="G57" s="11" t="s">
        <v>357</v>
      </c>
    </row>
    <row r="58" spans="1:7">
      <c r="A58" s="4" t="s">
        <v>280</v>
      </c>
      <c r="B58" s="4" t="s">
        <v>90</v>
      </c>
      <c r="C58" s="4">
        <v>2</v>
      </c>
      <c r="D58" s="4">
        <v>4</v>
      </c>
      <c r="E58" s="4">
        <v>1</v>
      </c>
      <c r="F58" s="4" t="s">
        <v>354</v>
      </c>
      <c r="G58" s="5" t="s">
        <v>355</v>
      </c>
    </row>
    <row r="59" spans="1:7">
      <c r="A59" s="6" t="s">
        <v>280</v>
      </c>
      <c r="B59" s="6" t="s">
        <v>94</v>
      </c>
      <c r="C59" s="6">
        <v>1</v>
      </c>
      <c r="D59" s="6">
        <v>4</v>
      </c>
      <c r="E59" s="6">
        <v>1</v>
      </c>
      <c r="F59" s="6" t="s">
        <v>333</v>
      </c>
      <c r="G59" s="11" t="s">
        <v>357</v>
      </c>
    </row>
    <row r="60" spans="1:7">
      <c r="A60" s="4" t="s">
        <v>280</v>
      </c>
      <c r="B60" s="4" t="s">
        <v>98</v>
      </c>
      <c r="C60" s="4">
        <v>1</v>
      </c>
      <c r="D60" s="4">
        <v>4</v>
      </c>
      <c r="E60" s="4">
        <v>3</v>
      </c>
      <c r="F60" s="4" t="s">
        <v>333</v>
      </c>
      <c r="G60" s="5" t="s">
        <v>355</v>
      </c>
    </row>
    <row r="61" spans="1:7">
      <c r="A61" s="6" t="s">
        <v>280</v>
      </c>
      <c r="B61" s="6" t="s">
        <v>102</v>
      </c>
      <c r="C61" s="6">
        <v>0</v>
      </c>
      <c r="D61" s="6">
        <v>9</v>
      </c>
      <c r="E61" s="6">
        <v>4</v>
      </c>
      <c r="F61" s="6" t="s">
        <v>354</v>
      </c>
      <c r="G61" s="11" t="s">
        <v>357</v>
      </c>
    </row>
    <row r="62" spans="1:7">
      <c r="A62" s="4" t="s">
        <v>280</v>
      </c>
      <c r="B62" s="4" t="s">
        <v>106</v>
      </c>
      <c r="C62" s="4">
        <v>2</v>
      </c>
      <c r="D62" s="4">
        <v>1</v>
      </c>
      <c r="E62" s="4">
        <v>5</v>
      </c>
      <c r="F62" s="4" t="s">
        <v>333</v>
      </c>
      <c r="G62" s="5" t="s">
        <v>355</v>
      </c>
    </row>
    <row r="63" spans="1:7">
      <c r="A63" s="6" t="s">
        <v>280</v>
      </c>
      <c r="B63" s="6" t="s">
        <v>110</v>
      </c>
      <c r="C63" s="6">
        <v>0</v>
      </c>
      <c r="D63" s="6">
        <v>3</v>
      </c>
      <c r="E63" s="6">
        <v>1</v>
      </c>
      <c r="F63" s="6" t="s">
        <v>333</v>
      </c>
      <c r="G63" s="7" t="s">
        <v>356</v>
      </c>
    </row>
    <row r="64" spans="1:7">
      <c r="A64" s="4" t="s">
        <v>288</v>
      </c>
      <c r="B64" s="4" t="s">
        <v>23</v>
      </c>
      <c r="C64" s="4">
        <v>2</v>
      </c>
      <c r="D64" s="4">
        <v>7</v>
      </c>
      <c r="E64" s="4">
        <v>5</v>
      </c>
      <c r="F64" s="4" t="s">
        <v>354</v>
      </c>
      <c r="G64" s="5" t="s">
        <v>355</v>
      </c>
    </row>
    <row r="65" spans="1:7">
      <c r="A65" s="6" t="s">
        <v>288</v>
      </c>
      <c r="B65" s="6" t="s">
        <v>32</v>
      </c>
      <c r="C65" s="6">
        <v>1</v>
      </c>
      <c r="D65" s="6">
        <v>1</v>
      </c>
      <c r="E65" s="6">
        <v>4</v>
      </c>
      <c r="F65" s="6" t="s">
        <v>354</v>
      </c>
      <c r="G65" s="5" t="s">
        <v>355</v>
      </c>
    </row>
    <row r="66" spans="1:7">
      <c r="A66" s="4" t="s">
        <v>288</v>
      </c>
      <c r="B66" s="4" t="s">
        <v>38</v>
      </c>
      <c r="C66" s="4">
        <v>2</v>
      </c>
      <c r="D66" s="4">
        <v>0</v>
      </c>
      <c r="E66" s="4">
        <v>1</v>
      </c>
      <c r="F66" s="4" t="s">
        <v>333</v>
      </c>
      <c r="G66" s="5" t="s">
        <v>355</v>
      </c>
    </row>
    <row r="67" spans="1:7">
      <c r="A67" s="6" t="s">
        <v>288</v>
      </c>
      <c r="B67" s="6" t="s">
        <v>44</v>
      </c>
      <c r="C67" s="6">
        <v>1</v>
      </c>
      <c r="D67" s="6">
        <v>8</v>
      </c>
      <c r="E67" s="6">
        <v>3</v>
      </c>
      <c r="F67" s="6" t="s">
        <v>333</v>
      </c>
      <c r="G67" s="5" t="s">
        <v>355</v>
      </c>
    </row>
    <row r="68" spans="1:7">
      <c r="A68" s="4" t="s">
        <v>288</v>
      </c>
      <c r="B68" s="4" t="s">
        <v>49</v>
      </c>
      <c r="C68" s="4">
        <v>2</v>
      </c>
      <c r="D68" s="4">
        <v>10</v>
      </c>
      <c r="E68" s="4">
        <v>2</v>
      </c>
      <c r="F68" s="4" t="s">
        <v>333</v>
      </c>
      <c r="G68" s="5" t="s">
        <v>355</v>
      </c>
    </row>
    <row r="69" spans="1:7">
      <c r="A69" s="6" t="s">
        <v>288</v>
      </c>
      <c r="B69" s="6" t="s">
        <v>54</v>
      </c>
      <c r="C69" s="6">
        <v>1</v>
      </c>
      <c r="D69" s="6">
        <v>6</v>
      </c>
      <c r="E69" s="6">
        <v>3</v>
      </c>
      <c r="F69" s="6" t="s">
        <v>333</v>
      </c>
      <c r="G69" s="5" t="s">
        <v>355</v>
      </c>
    </row>
    <row r="70" spans="1:7">
      <c r="A70" s="4" t="s">
        <v>288</v>
      </c>
      <c r="B70" s="4" t="s">
        <v>58</v>
      </c>
      <c r="C70" s="4">
        <v>1</v>
      </c>
      <c r="D70" s="4">
        <v>6</v>
      </c>
      <c r="E70" s="4">
        <v>4</v>
      </c>
      <c r="F70" s="4" t="s">
        <v>333</v>
      </c>
      <c r="G70" s="5" t="s">
        <v>355</v>
      </c>
    </row>
    <row r="71" spans="1:7">
      <c r="A71" s="6" t="s">
        <v>288</v>
      </c>
      <c r="B71" s="6" t="s">
        <v>62</v>
      </c>
      <c r="C71" s="6">
        <v>2</v>
      </c>
      <c r="D71" s="6">
        <v>6</v>
      </c>
      <c r="E71" s="6">
        <v>2</v>
      </c>
      <c r="F71" s="6" t="s">
        <v>333</v>
      </c>
      <c r="G71" s="5" t="s">
        <v>355</v>
      </c>
    </row>
    <row r="72" spans="1:7">
      <c r="A72" s="4" t="s">
        <v>288</v>
      </c>
      <c r="B72" s="4" t="s">
        <v>66</v>
      </c>
      <c r="C72" s="4">
        <v>2</v>
      </c>
      <c r="D72" s="4">
        <v>4</v>
      </c>
      <c r="E72" s="4">
        <v>5</v>
      </c>
      <c r="F72" s="4" t="s">
        <v>333</v>
      </c>
      <c r="G72" s="5" t="s">
        <v>355</v>
      </c>
    </row>
    <row r="73" spans="1:7">
      <c r="A73" s="6" t="s">
        <v>288</v>
      </c>
      <c r="B73" s="6" t="s">
        <v>70</v>
      </c>
      <c r="C73" s="6">
        <v>1</v>
      </c>
      <c r="D73" s="6">
        <v>5</v>
      </c>
      <c r="E73" s="6">
        <v>5</v>
      </c>
      <c r="F73" s="6" t="s">
        <v>333</v>
      </c>
      <c r="G73" s="5" t="s">
        <v>355</v>
      </c>
    </row>
    <row r="74" spans="1:7">
      <c r="A74" s="4" t="s">
        <v>288</v>
      </c>
      <c r="B74" s="4" t="s">
        <v>74</v>
      </c>
      <c r="C74" s="4">
        <v>2</v>
      </c>
      <c r="D74" s="4">
        <v>9</v>
      </c>
      <c r="E74" s="4">
        <v>3</v>
      </c>
      <c r="F74" s="4" t="s">
        <v>354</v>
      </c>
      <c r="G74" s="5" t="s">
        <v>355</v>
      </c>
    </row>
    <row r="75" spans="1:7">
      <c r="A75" s="6" t="s">
        <v>288</v>
      </c>
      <c r="B75" s="6" t="s">
        <v>78</v>
      </c>
      <c r="C75" s="6">
        <v>1</v>
      </c>
      <c r="D75" s="6">
        <v>2</v>
      </c>
      <c r="E75" s="6">
        <v>4</v>
      </c>
      <c r="F75" s="6" t="s">
        <v>333</v>
      </c>
      <c r="G75" s="5" t="s">
        <v>355</v>
      </c>
    </row>
    <row r="76" spans="1:7">
      <c r="A76" s="4" t="s">
        <v>288</v>
      </c>
      <c r="B76" s="4" t="s">
        <v>82</v>
      </c>
      <c r="C76" s="4">
        <v>1</v>
      </c>
      <c r="D76" s="4">
        <v>9</v>
      </c>
      <c r="E76" s="4">
        <v>4</v>
      </c>
      <c r="F76" s="4" t="s">
        <v>354</v>
      </c>
      <c r="G76" s="5" t="s">
        <v>355</v>
      </c>
    </row>
    <row r="77" spans="1:7">
      <c r="A77" s="6" t="s">
        <v>288</v>
      </c>
      <c r="B77" s="6" t="s">
        <v>86</v>
      </c>
      <c r="C77" s="6">
        <v>2</v>
      </c>
      <c r="D77" s="6">
        <v>6</v>
      </c>
      <c r="E77" s="6">
        <v>0</v>
      </c>
      <c r="F77" s="6" t="s">
        <v>333</v>
      </c>
      <c r="G77" s="5" t="s">
        <v>355</v>
      </c>
    </row>
    <row r="78" spans="1:7">
      <c r="A78" s="4" t="s">
        <v>288</v>
      </c>
      <c r="B78" s="4" t="s">
        <v>90</v>
      </c>
      <c r="C78" s="4">
        <v>2</v>
      </c>
      <c r="D78" s="4">
        <v>5</v>
      </c>
      <c r="E78" s="4">
        <v>1</v>
      </c>
      <c r="F78" s="4" t="s">
        <v>333</v>
      </c>
      <c r="G78" s="5" t="s">
        <v>355</v>
      </c>
    </row>
    <row r="79" spans="1:7">
      <c r="A79" s="6" t="s">
        <v>288</v>
      </c>
      <c r="B79" s="6" t="s">
        <v>94</v>
      </c>
      <c r="C79" s="6">
        <v>1</v>
      </c>
      <c r="D79" s="6">
        <v>7</v>
      </c>
      <c r="E79" s="6">
        <v>3</v>
      </c>
      <c r="F79" s="6" t="s">
        <v>333</v>
      </c>
      <c r="G79" s="5" t="s">
        <v>355</v>
      </c>
    </row>
    <row r="80" spans="1:7">
      <c r="A80" s="4" t="s">
        <v>288</v>
      </c>
      <c r="B80" s="4" t="s">
        <v>98</v>
      </c>
      <c r="C80" s="4">
        <v>0</v>
      </c>
      <c r="D80" s="4">
        <v>3</v>
      </c>
      <c r="E80" s="4">
        <v>0</v>
      </c>
      <c r="F80" s="4" t="s">
        <v>354</v>
      </c>
      <c r="G80" s="7" t="s">
        <v>356</v>
      </c>
    </row>
    <row r="81" spans="1:7">
      <c r="A81" s="6" t="s">
        <v>288</v>
      </c>
      <c r="B81" s="6" t="s">
        <v>102</v>
      </c>
      <c r="C81" s="6">
        <v>0</v>
      </c>
      <c r="D81" s="6">
        <v>0</v>
      </c>
      <c r="E81" s="6">
        <v>1</v>
      </c>
      <c r="F81" s="6" t="s">
        <v>333</v>
      </c>
      <c r="G81" s="7" t="s">
        <v>356</v>
      </c>
    </row>
    <row r="82" spans="1:7">
      <c r="A82" s="4" t="s">
        <v>288</v>
      </c>
      <c r="B82" s="4" t="s">
        <v>106</v>
      </c>
      <c r="C82" s="4">
        <v>1</v>
      </c>
      <c r="D82" s="4">
        <v>8</v>
      </c>
      <c r="E82" s="4">
        <v>4</v>
      </c>
      <c r="F82" s="4" t="s">
        <v>333</v>
      </c>
      <c r="G82" s="5" t="s">
        <v>355</v>
      </c>
    </row>
    <row r="83" spans="1:7">
      <c r="A83" s="6" t="s">
        <v>288</v>
      </c>
      <c r="B83" s="6" t="s">
        <v>110</v>
      </c>
      <c r="C83" s="6">
        <v>1</v>
      </c>
      <c r="D83" s="6">
        <v>4</v>
      </c>
      <c r="E83" s="6">
        <v>2</v>
      </c>
      <c r="F83" s="6" t="s">
        <v>354</v>
      </c>
      <c r="G83" s="5" t="s">
        <v>355</v>
      </c>
    </row>
    <row r="84" spans="1:7">
      <c r="A84" s="4" t="s">
        <v>321</v>
      </c>
      <c r="B84" s="4" t="s">
        <v>23</v>
      </c>
      <c r="C84" s="4">
        <v>1</v>
      </c>
      <c r="D84" s="4">
        <v>7</v>
      </c>
      <c r="E84" s="4">
        <v>4</v>
      </c>
      <c r="F84" s="4" t="s">
        <v>333</v>
      </c>
      <c r="G84" s="5" t="s">
        <v>355</v>
      </c>
    </row>
    <row r="85" spans="1:7">
      <c r="A85" s="6" t="s">
        <v>321</v>
      </c>
      <c r="B85" s="6" t="s">
        <v>32</v>
      </c>
      <c r="C85" s="6">
        <v>1</v>
      </c>
      <c r="D85" s="6">
        <v>7</v>
      </c>
      <c r="E85" s="6">
        <v>2</v>
      </c>
      <c r="F85" s="6" t="s">
        <v>333</v>
      </c>
      <c r="G85" s="5" t="s">
        <v>355</v>
      </c>
    </row>
    <row r="86" spans="1:7">
      <c r="A86" s="4" t="s">
        <v>321</v>
      </c>
      <c r="B86" s="4" t="s">
        <v>38</v>
      </c>
      <c r="C86" s="4">
        <v>0</v>
      </c>
      <c r="D86" s="4">
        <v>2</v>
      </c>
      <c r="E86" s="4">
        <v>5</v>
      </c>
      <c r="F86" s="4" t="s">
        <v>333</v>
      </c>
      <c r="G86" s="7" t="s">
        <v>356</v>
      </c>
    </row>
    <row r="87" spans="1:7">
      <c r="A87" s="6" t="s">
        <v>321</v>
      </c>
      <c r="B87" s="6" t="s">
        <v>44</v>
      </c>
      <c r="C87" s="6">
        <v>2</v>
      </c>
      <c r="D87" s="6">
        <v>8</v>
      </c>
      <c r="E87" s="6">
        <v>5</v>
      </c>
      <c r="F87" s="6" t="s">
        <v>354</v>
      </c>
      <c r="G87" s="5" t="s">
        <v>355</v>
      </c>
    </row>
    <row r="88" spans="1:7">
      <c r="A88" s="4" t="s">
        <v>321</v>
      </c>
      <c r="B88" s="4" t="s">
        <v>49</v>
      </c>
      <c r="C88" s="4">
        <v>0</v>
      </c>
      <c r="D88" s="4">
        <v>6</v>
      </c>
      <c r="E88" s="4">
        <v>4</v>
      </c>
      <c r="F88" s="4" t="s">
        <v>333</v>
      </c>
      <c r="G88" s="11" t="s">
        <v>357</v>
      </c>
    </row>
    <row r="89" spans="1:7">
      <c r="A89" s="6" t="s">
        <v>321</v>
      </c>
      <c r="B89" s="6" t="s">
        <v>54</v>
      </c>
      <c r="C89" s="6">
        <v>1</v>
      </c>
      <c r="D89" s="6">
        <v>2</v>
      </c>
      <c r="E89" s="6">
        <v>1</v>
      </c>
      <c r="F89" s="6" t="s">
        <v>333</v>
      </c>
      <c r="G89" s="11" t="s">
        <v>357</v>
      </c>
    </row>
    <row r="90" spans="1:7">
      <c r="A90" s="4" t="s">
        <v>321</v>
      </c>
      <c r="B90" s="4" t="s">
        <v>58</v>
      </c>
      <c r="C90" s="4">
        <v>1</v>
      </c>
      <c r="D90" s="4">
        <v>4</v>
      </c>
      <c r="E90" s="4">
        <v>4</v>
      </c>
      <c r="F90" s="4" t="s">
        <v>333</v>
      </c>
      <c r="G90" s="5" t="s">
        <v>355</v>
      </c>
    </row>
    <row r="91" spans="1:7">
      <c r="A91" s="6" t="s">
        <v>321</v>
      </c>
      <c r="B91" s="6" t="s">
        <v>62</v>
      </c>
      <c r="C91" s="6">
        <v>2</v>
      </c>
      <c r="D91" s="6">
        <v>3</v>
      </c>
      <c r="E91" s="6">
        <v>4</v>
      </c>
      <c r="F91" s="6" t="s">
        <v>354</v>
      </c>
      <c r="G91" s="5" t="s">
        <v>355</v>
      </c>
    </row>
    <row r="92" spans="1:7">
      <c r="A92" s="4" t="s">
        <v>321</v>
      </c>
      <c r="B92" s="4" t="s">
        <v>66</v>
      </c>
      <c r="C92" s="4">
        <v>0</v>
      </c>
      <c r="D92" s="4">
        <v>0</v>
      </c>
      <c r="E92" s="4">
        <v>1</v>
      </c>
      <c r="F92" s="4" t="s">
        <v>333</v>
      </c>
      <c r="G92" s="7" t="s">
        <v>356</v>
      </c>
    </row>
    <row r="93" spans="1:7">
      <c r="A93" s="6" t="s">
        <v>321</v>
      </c>
      <c r="B93" s="6" t="s">
        <v>70</v>
      </c>
      <c r="C93" s="6">
        <v>1</v>
      </c>
      <c r="D93" s="6">
        <v>0</v>
      </c>
      <c r="E93" s="6">
        <v>4</v>
      </c>
      <c r="F93" s="6" t="s">
        <v>354</v>
      </c>
      <c r="G93" s="5" t="s">
        <v>355</v>
      </c>
    </row>
    <row r="94" spans="1:7">
      <c r="A94" s="4" t="s">
        <v>321</v>
      </c>
      <c r="B94" s="4" t="s">
        <v>74</v>
      </c>
      <c r="C94" s="4">
        <v>1</v>
      </c>
      <c r="D94" s="4">
        <v>7</v>
      </c>
      <c r="E94" s="4">
        <v>5</v>
      </c>
      <c r="F94" s="4" t="s">
        <v>333</v>
      </c>
      <c r="G94" s="5" t="s">
        <v>355</v>
      </c>
    </row>
    <row r="95" spans="1:7">
      <c r="A95" s="6" t="s">
        <v>321</v>
      </c>
      <c r="B95" s="6" t="s">
        <v>78</v>
      </c>
      <c r="C95" s="6">
        <v>2</v>
      </c>
      <c r="D95" s="6">
        <v>1</v>
      </c>
      <c r="E95" s="6">
        <v>3</v>
      </c>
      <c r="F95" s="6" t="s">
        <v>333</v>
      </c>
      <c r="G95" s="5" t="s">
        <v>355</v>
      </c>
    </row>
    <row r="96" spans="1:7">
      <c r="A96" s="4" t="s">
        <v>321</v>
      </c>
      <c r="B96" s="4" t="s">
        <v>82</v>
      </c>
      <c r="C96" s="4">
        <v>2</v>
      </c>
      <c r="D96" s="4">
        <v>5</v>
      </c>
      <c r="E96" s="4">
        <v>0</v>
      </c>
      <c r="F96" s="4" t="s">
        <v>333</v>
      </c>
      <c r="G96" s="5" t="s">
        <v>355</v>
      </c>
    </row>
    <row r="97" spans="1:7">
      <c r="A97" s="6" t="s">
        <v>321</v>
      </c>
      <c r="B97" s="6" t="s">
        <v>86</v>
      </c>
      <c r="C97" s="6">
        <v>1</v>
      </c>
      <c r="D97" s="6">
        <v>6</v>
      </c>
      <c r="E97" s="6">
        <v>0</v>
      </c>
      <c r="F97" s="6" t="s">
        <v>333</v>
      </c>
      <c r="G97" s="5" t="s">
        <v>355</v>
      </c>
    </row>
    <row r="98" spans="1:7">
      <c r="A98" s="4" t="s">
        <v>321</v>
      </c>
      <c r="B98" s="4" t="s">
        <v>90</v>
      </c>
      <c r="C98" s="4">
        <v>2</v>
      </c>
      <c r="D98" s="4">
        <v>10</v>
      </c>
      <c r="E98" s="4">
        <v>5</v>
      </c>
      <c r="F98" s="4" t="s">
        <v>354</v>
      </c>
      <c r="G98" s="5" t="s">
        <v>355</v>
      </c>
    </row>
    <row r="99" spans="1:7">
      <c r="A99" s="6" t="s">
        <v>321</v>
      </c>
      <c r="B99" s="6" t="s">
        <v>94</v>
      </c>
      <c r="C99" s="6">
        <v>1</v>
      </c>
      <c r="D99" s="6">
        <v>1</v>
      </c>
      <c r="E99" s="6">
        <v>0</v>
      </c>
      <c r="F99" s="6" t="s">
        <v>354</v>
      </c>
      <c r="G99" s="11" t="s">
        <v>357</v>
      </c>
    </row>
    <row r="100" spans="1:7">
      <c r="A100" s="4" t="s">
        <v>321</v>
      </c>
      <c r="B100" s="4" t="s">
        <v>98</v>
      </c>
      <c r="C100" s="4">
        <v>0</v>
      </c>
      <c r="D100" s="4">
        <v>8</v>
      </c>
      <c r="E100" s="4">
        <v>5</v>
      </c>
      <c r="F100" s="4" t="s">
        <v>354</v>
      </c>
      <c r="G100" s="11" t="s">
        <v>357</v>
      </c>
    </row>
    <row r="101" spans="1:7">
      <c r="A101" s="6" t="s">
        <v>321</v>
      </c>
      <c r="B101" s="6" t="s">
        <v>102</v>
      </c>
      <c r="C101" s="6">
        <v>2</v>
      </c>
      <c r="D101" s="6">
        <v>9</v>
      </c>
      <c r="E101" s="6">
        <v>0</v>
      </c>
      <c r="F101" s="6" t="s">
        <v>354</v>
      </c>
      <c r="G101" s="5" t="s">
        <v>355</v>
      </c>
    </row>
    <row r="102" spans="1:7">
      <c r="A102" s="4" t="s">
        <v>321</v>
      </c>
      <c r="B102" s="4" t="s">
        <v>106</v>
      </c>
      <c r="C102" s="4">
        <v>0</v>
      </c>
      <c r="D102" s="4">
        <v>0</v>
      </c>
      <c r="E102" s="4">
        <v>1</v>
      </c>
      <c r="F102" s="4" t="s">
        <v>333</v>
      </c>
      <c r="G102" s="7" t="s">
        <v>356</v>
      </c>
    </row>
    <row r="103" spans="1:7">
      <c r="A103" s="6" t="s">
        <v>321</v>
      </c>
      <c r="B103" s="6" t="s">
        <v>110</v>
      </c>
      <c r="C103" s="6">
        <v>0</v>
      </c>
      <c r="D103" s="6">
        <v>6</v>
      </c>
      <c r="E103" s="6">
        <v>2</v>
      </c>
      <c r="F103" s="6" t="s">
        <v>333</v>
      </c>
      <c r="G103" s="11" t="s">
        <v>357</v>
      </c>
    </row>
    <row r="104" spans="1:7">
      <c r="A104" s="4" t="s">
        <v>289</v>
      </c>
      <c r="B104" s="4" t="s">
        <v>23</v>
      </c>
      <c r="C104" s="4">
        <v>1</v>
      </c>
      <c r="D104" s="4">
        <v>1</v>
      </c>
      <c r="E104" s="4">
        <v>4</v>
      </c>
      <c r="F104" s="4" t="s">
        <v>354</v>
      </c>
      <c r="G104" s="5" t="s">
        <v>355</v>
      </c>
    </row>
    <row r="105" spans="1:7">
      <c r="A105" s="6" t="s">
        <v>289</v>
      </c>
      <c r="B105" s="6" t="s">
        <v>32</v>
      </c>
      <c r="C105" s="6">
        <v>2</v>
      </c>
      <c r="D105" s="6">
        <v>1</v>
      </c>
      <c r="E105" s="6">
        <v>3</v>
      </c>
      <c r="F105" s="6" t="s">
        <v>354</v>
      </c>
      <c r="G105" s="5" t="s">
        <v>355</v>
      </c>
    </row>
    <row r="106" spans="1:7">
      <c r="A106" s="4" t="s">
        <v>289</v>
      </c>
      <c r="B106" s="4" t="s">
        <v>38</v>
      </c>
      <c r="C106" s="4">
        <v>2</v>
      </c>
      <c r="D106" s="4">
        <v>1</v>
      </c>
      <c r="E106" s="4">
        <v>3</v>
      </c>
      <c r="F106" s="4" t="s">
        <v>354</v>
      </c>
      <c r="G106" s="5" t="s">
        <v>355</v>
      </c>
    </row>
    <row r="107" spans="1:7">
      <c r="A107" s="6" t="s">
        <v>289</v>
      </c>
      <c r="B107" s="6" t="s">
        <v>44</v>
      </c>
      <c r="C107" s="6">
        <v>1</v>
      </c>
      <c r="D107" s="6">
        <v>7</v>
      </c>
      <c r="E107" s="6">
        <v>3</v>
      </c>
      <c r="F107" s="6" t="s">
        <v>333</v>
      </c>
      <c r="G107" s="5" t="s">
        <v>355</v>
      </c>
    </row>
    <row r="108" spans="1:7">
      <c r="A108" s="4" t="s">
        <v>289</v>
      </c>
      <c r="B108" s="4" t="s">
        <v>49</v>
      </c>
      <c r="C108" s="4">
        <v>0</v>
      </c>
      <c r="D108" s="4">
        <v>8</v>
      </c>
      <c r="E108" s="4">
        <v>5</v>
      </c>
      <c r="F108" s="4" t="s">
        <v>354</v>
      </c>
      <c r="G108" s="11" t="s">
        <v>357</v>
      </c>
    </row>
    <row r="109" spans="1:7">
      <c r="A109" s="6" t="s">
        <v>289</v>
      </c>
      <c r="B109" s="6" t="s">
        <v>54</v>
      </c>
      <c r="C109" s="6">
        <v>2</v>
      </c>
      <c r="D109" s="6">
        <v>2</v>
      </c>
      <c r="E109" s="6">
        <v>2</v>
      </c>
      <c r="F109" s="6" t="s">
        <v>333</v>
      </c>
      <c r="G109" s="5" t="s">
        <v>355</v>
      </c>
    </row>
    <row r="110" spans="1:7">
      <c r="A110" s="4" t="s">
        <v>289</v>
      </c>
      <c r="B110" s="4" t="s">
        <v>58</v>
      </c>
      <c r="C110" s="4">
        <v>2</v>
      </c>
      <c r="D110" s="4">
        <v>10</v>
      </c>
      <c r="E110" s="4">
        <v>4</v>
      </c>
      <c r="F110" s="4" t="s">
        <v>333</v>
      </c>
      <c r="G110" s="5" t="s">
        <v>355</v>
      </c>
    </row>
    <row r="111" spans="1:7">
      <c r="A111" s="6" t="s">
        <v>289</v>
      </c>
      <c r="B111" s="6" t="s">
        <v>62</v>
      </c>
      <c r="C111" s="6">
        <v>0</v>
      </c>
      <c r="D111" s="6">
        <v>0</v>
      </c>
      <c r="E111" s="6">
        <v>2</v>
      </c>
      <c r="F111" s="6" t="s">
        <v>333</v>
      </c>
      <c r="G111" s="7" t="s">
        <v>356</v>
      </c>
    </row>
    <row r="112" spans="1:7">
      <c r="A112" s="4" t="s">
        <v>289</v>
      </c>
      <c r="B112" s="4" t="s">
        <v>66</v>
      </c>
      <c r="C112" s="4">
        <v>0</v>
      </c>
      <c r="D112" s="4">
        <v>7</v>
      </c>
      <c r="E112" s="4">
        <v>0</v>
      </c>
      <c r="F112" s="4" t="s">
        <v>354</v>
      </c>
      <c r="G112" s="7" t="s">
        <v>356</v>
      </c>
    </row>
    <row r="113" spans="1:7">
      <c r="A113" s="6" t="s">
        <v>289</v>
      </c>
      <c r="B113" s="6" t="s">
        <v>70</v>
      </c>
      <c r="C113" s="6">
        <v>0</v>
      </c>
      <c r="D113" s="6">
        <v>6</v>
      </c>
      <c r="E113" s="6">
        <v>3</v>
      </c>
      <c r="F113" s="6" t="s">
        <v>333</v>
      </c>
      <c r="G113" s="11" t="s">
        <v>357</v>
      </c>
    </row>
    <row r="114" spans="1:7">
      <c r="A114" s="4" t="s">
        <v>289</v>
      </c>
      <c r="B114" s="4" t="s">
        <v>74</v>
      </c>
      <c r="C114" s="4">
        <v>0</v>
      </c>
      <c r="D114" s="4">
        <v>5</v>
      </c>
      <c r="E114" s="4">
        <v>4</v>
      </c>
      <c r="F114" s="4" t="s">
        <v>354</v>
      </c>
      <c r="G114" s="11" t="s">
        <v>357</v>
      </c>
    </row>
    <row r="115" spans="1:7">
      <c r="A115" s="6" t="s">
        <v>289</v>
      </c>
      <c r="B115" s="6" t="s">
        <v>78</v>
      </c>
      <c r="C115" s="6">
        <v>0</v>
      </c>
      <c r="D115" s="6">
        <v>2</v>
      </c>
      <c r="E115" s="6">
        <v>4</v>
      </c>
      <c r="F115" s="6" t="s">
        <v>354</v>
      </c>
      <c r="G115" s="7" t="s">
        <v>356</v>
      </c>
    </row>
    <row r="116" spans="1:7">
      <c r="A116" s="4" t="s">
        <v>289</v>
      </c>
      <c r="B116" s="4" t="s">
        <v>82</v>
      </c>
      <c r="C116" s="4">
        <v>1</v>
      </c>
      <c r="D116" s="4">
        <v>4</v>
      </c>
      <c r="E116" s="4">
        <v>1</v>
      </c>
      <c r="F116" s="4" t="s">
        <v>354</v>
      </c>
      <c r="G116" s="11" t="s">
        <v>357</v>
      </c>
    </row>
    <row r="117" spans="1:7">
      <c r="A117" s="6" t="s">
        <v>289</v>
      </c>
      <c r="B117" s="6" t="s">
        <v>86</v>
      </c>
      <c r="C117" s="6">
        <v>2</v>
      </c>
      <c r="D117" s="6">
        <v>5</v>
      </c>
      <c r="E117" s="6">
        <v>1</v>
      </c>
      <c r="F117" s="6" t="s">
        <v>354</v>
      </c>
      <c r="G117" s="5" t="s">
        <v>355</v>
      </c>
    </row>
    <row r="118" spans="1:7">
      <c r="A118" s="4" t="s">
        <v>289</v>
      </c>
      <c r="B118" s="4" t="s">
        <v>90</v>
      </c>
      <c r="C118" s="4">
        <v>1</v>
      </c>
      <c r="D118" s="4">
        <v>6</v>
      </c>
      <c r="E118" s="4">
        <v>0</v>
      </c>
      <c r="F118" s="4" t="s">
        <v>354</v>
      </c>
      <c r="G118" s="5" t="s">
        <v>355</v>
      </c>
    </row>
    <row r="119" spans="1:7">
      <c r="A119" s="6" t="s">
        <v>289</v>
      </c>
      <c r="B119" s="6" t="s">
        <v>94</v>
      </c>
      <c r="C119" s="6">
        <v>0</v>
      </c>
      <c r="D119" s="6">
        <v>0</v>
      </c>
      <c r="E119" s="6">
        <v>4</v>
      </c>
      <c r="F119" s="6" t="s">
        <v>333</v>
      </c>
      <c r="G119" s="7" t="s">
        <v>356</v>
      </c>
    </row>
    <row r="120" spans="1:7">
      <c r="A120" s="4" t="s">
        <v>289</v>
      </c>
      <c r="B120" s="4" t="s">
        <v>98</v>
      </c>
      <c r="C120" s="4">
        <v>2</v>
      </c>
      <c r="D120" s="4">
        <v>8</v>
      </c>
      <c r="E120" s="4">
        <v>4</v>
      </c>
      <c r="F120" s="4" t="s">
        <v>354</v>
      </c>
      <c r="G120" s="5" t="s">
        <v>355</v>
      </c>
    </row>
    <row r="121" spans="1:7">
      <c r="A121" s="6" t="s">
        <v>289</v>
      </c>
      <c r="B121" s="6" t="s">
        <v>102</v>
      </c>
      <c r="C121" s="6">
        <v>0</v>
      </c>
      <c r="D121" s="6">
        <v>9</v>
      </c>
      <c r="E121" s="6">
        <v>5</v>
      </c>
      <c r="F121" s="6" t="s">
        <v>333</v>
      </c>
      <c r="G121" s="11" t="s">
        <v>357</v>
      </c>
    </row>
    <row r="122" spans="1:7">
      <c r="A122" s="4" t="s">
        <v>289</v>
      </c>
      <c r="B122" s="4" t="s">
        <v>106</v>
      </c>
      <c r="C122" s="4">
        <v>2</v>
      </c>
      <c r="D122" s="4">
        <v>10</v>
      </c>
      <c r="E122" s="4">
        <v>4</v>
      </c>
      <c r="F122" s="4" t="s">
        <v>333</v>
      </c>
      <c r="G122" s="5" t="s">
        <v>355</v>
      </c>
    </row>
    <row r="123" spans="1:7">
      <c r="A123" s="6" t="s">
        <v>289</v>
      </c>
      <c r="B123" s="6" t="s">
        <v>110</v>
      </c>
      <c r="C123" s="6">
        <v>2</v>
      </c>
      <c r="D123" s="6">
        <v>10</v>
      </c>
      <c r="E123" s="6">
        <v>2</v>
      </c>
      <c r="F123" s="6" t="s">
        <v>333</v>
      </c>
      <c r="G123" s="5" t="s">
        <v>355</v>
      </c>
    </row>
    <row r="124" spans="1:7">
      <c r="A124" s="4" t="s">
        <v>301</v>
      </c>
      <c r="B124" s="4" t="s">
        <v>23</v>
      </c>
      <c r="C124" s="4">
        <v>1</v>
      </c>
      <c r="D124" s="4">
        <v>1</v>
      </c>
      <c r="E124" s="4">
        <v>0</v>
      </c>
      <c r="F124" s="4" t="s">
        <v>354</v>
      </c>
      <c r="G124" s="11" t="s">
        <v>357</v>
      </c>
    </row>
    <row r="125" spans="1:7">
      <c r="A125" s="6" t="s">
        <v>301</v>
      </c>
      <c r="B125" s="6" t="s">
        <v>32</v>
      </c>
      <c r="C125" s="6">
        <v>0</v>
      </c>
      <c r="D125" s="6">
        <v>3</v>
      </c>
      <c r="E125" s="6">
        <v>2</v>
      </c>
      <c r="F125" s="6" t="s">
        <v>354</v>
      </c>
      <c r="G125" s="7" t="s">
        <v>356</v>
      </c>
    </row>
    <row r="126" spans="1:7">
      <c r="A126" s="4" t="s">
        <v>301</v>
      </c>
      <c r="B126" s="4" t="s">
        <v>38</v>
      </c>
      <c r="C126" s="4">
        <v>2</v>
      </c>
      <c r="D126" s="4">
        <v>6</v>
      </c>
      <c r="E126" s="4">
        <v>1</v>
      </c>
      <c r="F126" s="4" t="s">
        <v>333</v>
      </c>
      <c r="G126" s="5" t="s">
        <v>355</v>
      </c>
    </row>
    <row r="127" spans="1:7">
      <c r="A127" s="6" t="s">
        <v>301</v>
      </c>
      <c r="B127" s="6" t="s">
        <v>44</v>
      </c>
      <c r="C127" s="6">
        <v>1</v>
      </c>
      <c r="D127" s="6">
        <v>9</v>
      </c>
      <c r="E127" s="6">
        <v>2</v>
      </c>
      <c r="F127" s="6" t="s">
        <v>333</v>
      </c>
      <c r="G127" s="5" t="s">
        <v>355</v>
      </c>
    </row>
    <row r="128" spans="1:7">
      <c r="A128" s="4" t="s">
        <v>301</v>
      </c>
      <c r="B128" s="4" t="s">
        <v>49</v>
      </c>
      <c r="C128" s="4">
        <v>0</v>
      </c>
      <c r="D128" s="4">
        <v>1</v>
      </c>
      <c r="E128" s="4">
        <v>1</v>
      </c>
      <c r="F128" s="4" t="s">
        <v>333</v>
      </c>
      <c r="G128" s="7" t="s">
        <v>356</v>
      </c>
    </row>
    <row r="129" spans="1:7">
      <c r="A129" s="6" t="s">
        <v>301</v>
      </c>
      <c r="B129" s="6" t="s">
        <v>54</v>
      </c>
      <c r="C129" s="6">
        <v>1</v>
      </c>
      <c r="D129" s="6">
        <v>5</v>
      </c>
      <c r="E129" s="6">
        <v>5</v>
      </c>
      <c r="F129" s="6" t="s">
        <v>354</v>
      </c>
      <c r="G129" s="5" t="s">
        <v>355</v>
      </c>
    </row>
    <row r="130" spans="1:7">
      <c r="A130" s="4" t="s">
        <v>301</v>
      </c>
      <c r="B130" s="4" t="s">
        <v>58</v>
      </c>
      <c r="C130" s="4">
        <v>1</v>
      </c>
      <c r="D130" s="4">
        <v>10</v>
      </c>
      <c r="E130" s="4">
        <v>5</v>
      </c>
      <c r="F130" s="4" t="s">
        <v>354</v>
      </c>
      <c r="G130" s="5" t="s">
        <v>355</v>
      </c>
    </row>
    <row r="131" spans="1:7">
      <c r="A131" s="6" t="s">
        <v>301</v>
      </c>
      <c r="B131" s="6" t="s">
        <v>62</v>
      </c>
      <c r="C131" s="6">
        <v>0</v>
      </c>
      <c r="D131" s="6">
        <v>8</v>
      </c>
      <c r="E131" s="6">
        <v>0</v>
      </c>
      <c r="F131" s="6" t="s">
        <v>333</v>
      </c>
      <c r="G131" s="7" t="s">
        <v>356</v>
      </c>
    </row>
    <row r="132" spans="1:7">
      <c r="A132" s="4" t="s">
        <v>301</v>
      </c>
      <c r="B132" s="4" t="s">
        <v>66</v>
      </c>
      <c r="C132" s="4">
        <v>0</v>
      </c>
      <c r="D132" s="4">
        <v>6</v>
      </c>
      <c r="E132" s="4">
        <v>4</v>
      </c>
      <c r="F132" s="4" t="s">
        <v>354</v>
      </c>
      <c r="G132" s="11" t="s">
        <v>357</v>
      </c>
    </row>
    <row r="133" spans="1:7">
      <c r="A133" s="6" t="s">
        <v>301</v>
      </c>
      <c r="B133" s="6" t="s">
        <v>70</v>
      </c>
      <c r="C133" s="6">
        <v>1</v>
      </c>
      <c r="D133" s="6">
        <v>7</v>
      </c>
      <c r="E133" s="6">
        <v>1</v>
      </c>
      <c r="F133" s="6" t="s">
        <v>333</v>
      </c>
      <c r="G133" s="5" t="s">
        <v>355</v>
      </c>
    </row>
    <row r="134" spans="1:7">
      <c r="A134" s="4" t="s">
        <v>301</v>
      </c>
      <c r="B134" s="4" t="s">
        <v>74</v>
      </c>
      <c r="C134" s="4">
        <v>0</v>
      </c>
      <c r="D134" s="4">
        <v>0</v>
      </c>
      <c r="E134" s="4">
        <v>2</v>
      </c>
      <c r="F134" s="4" t="s">
        <v>333</v>
      </c>
      <c r="G134" s="7" t="s">
        <v>356</v>
      </c>
    </row>
    <row r="135" spans="1:7">
      <c r="A135" s="6" t="s">
        <v>301</v>
      </c>
      <c r="B135" s="6" t="s">
        <v>78</v>
      </c>
      <c r="C135" s="6">
        <v>0</v>
      </c>
      <c r="D135" s="6">
        <v>10</v>
      </c>
      <c r="E135" s="6">
        <v>1</v>
      </c>
      <c r="F135" s="6" t="s">
        <v>333</v>
      </c>
      <c r="G135" s="7" t="s">
        <v>356</v>
      </c>
    </row>
    <row r="136" spans="1:7">
      <c r="A136" s="4" t="s">
        <v>301</v>
      </c>
      <c r="B136" s="4" t="s">
        <v>82</v>
      </c>
      <c r="C136" s="4">
        <v>0</v>
      </c>
      <c r="D136" s="4">
        <v>2</v>
      </c>
      <c r="E136" s="4">
        <v>1</v>
      </c>
      <c r="F136" s="4" t="s">
        <v>354</v>
      </c>
      <c r="G136" s="7" t="s">
        <v>356</v>
      </c>
    </row>
    <row r="137" spans="1:7">
      <c r="A137" s="6" t="s">
        <v>301</v>
      </c>
      <c r="B137" s="6" t="s">
        <v>86</v>
      </c>
      <c r="C137" s="6">
        <v>0</v>
      </c>
      <c r="D137" s="6">
        <v>9</v>
      </c>
      <c r="E137" s="6">
        <v>2</v>
      </c>
      <c r="F137" s="6" t="s">
        <v>333</v>
      </c>
      <c r="G137" s="11" t="s">
        <v>357</v>
      </c>
    </row>
    <row r="138" spans="1:7">
      <c r="A138" s="4" t="s">
        <v>301</v>
      </c>
      <c r="B138" s="4" t="s">
        <v>90</v>
      </c>
      <c r="C138" s="4">
        <v>2</v>
      </c>
      <c r="D138" s="4">
        <v>2</v>
      </c>
      <c r="E138" s="4">
        <v>2</v>
      </c>
      <c r="F138" s="4" t="s">
        <v>354</v>
      </c>
      <c r="G138" s="5" t="s">
        <v>355</v>
      </c>
    </row>
    <row r="139" spans="1:7">
      <c r="A139" s="6" t="s">
        <v>301</v>
      </c>
      <c r="B139" s="6" t="s">
        <v>94</v>
      </c>
      <c r="C139" s="6">
        <v>0</v>
      </c>
      <c r="D139" s="6">
        <v>4</v>
      </c>
      <c r="E139" s="6">
        <v>1</v>
      </c>
      <c r="F139" s="6" t="s">
        <v>354</v>
      </c>
      <c r="G139" s="7" t="s">
        <v>356</v>
      </c>
    </row>
    <row r="140" spans="1:7">
      <c r="A140" s="4" t="s">
        <v>301</v>
      </c>
      <c r="B140" s="4" t="s">
        <v>98</v>
      </c>
      <c r="C140" s="4">
        <v>0</v>
      </c>
      <c r="D140" s="4">
        <v>4</v>
      </c>
      <c r="E140" s="4">
        <v>4</v>
      </c>
      <c r="F140" s="4" t="s">
        <v>354</v>
      </c>
      <c r="G140" s="7" t="s">
        <v>356</v>
      </c>
    </row>
    <row r="141" spans="1:7">
      <c r="A141" s="6" t="s">
        <v>301</v>
      </c>
      <c r="B141" s="6" t="s">
        <v>102</v>
      </c>
      <c r="C141" s="6">
        <v>1</v>
      </c>
      <c r="D141" s="6">
        <v>5</v>
      </c>
      <c r="E141" s="6">
        <v>5</v>
      </c>
      <c r="F141" s="6" t="s">
        <v>354</v>
      </c>
      <c r="G141" s="5" t="s">
        <v>355</v>
      </c>
    </row>
    <row r="142" spans="1:7">
      <c r="A142" s="4" t="s">
        <v>301</v>
      </c>
      <c r="B142" s="4" t="s">
        <v>106</v>
      </c>
      <c r="C142" s="4">
        <v>2</v>
      </c>
      <c r="D142" s="4">
        <v>3</v>
      </c>
      <c r="E142" s="4">
        <v>1</v>
      </c>
      <c r="F142" s="4" t="s">
        <v>333</v>
      </c>
      <c r="G142" s="5" t="s">
        <v>355</v>
      </c>
    </row>
    <row r="143" spans="1:7">
      <c r="A143" s="6" t="s">
        <v>301</v>
      </c>
      <c r="B143" s="6" t="s">
        <v>110</v>
      </c>
      <c r="C143" s="6">
        <v>1</v>
      </c>
      <c r="D143" s="6">
        <v>9</v>
      </c>
      <c r="E143" s="6">
        <v>4</v>
      </c>
      <c r="F143" s="6" t="s">
        <v>354</v>
      </c>
      <c r="G143" s="5" t="s">
        <v>355</v>
      </c>
    </row>
  </sheetData>
  <autoFilter ref="A3:G144" xr:uid="{00000000-0009-0000-0000-000007000000}"/>
  <mergeCells count="2">
    <mergeCell ref="A1:G1"/>
    <mergeCell ref="A2:G2"/>
  </mergeCells>
  <dataValidations count="1">
    <dataValidation type="list" allowBlank="1" sqref="G4:G500" xr:uid="{00000000-0002-0000-0700-000000000000}">
      <formula1>"Active,Inactive,Needs Improvement"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4"/>
  <sheetViews>
    <sheetView zoomScaleNormal="100" workbookViewId="0">
      <pane ySplit="3" topLeftCell="A4" activePane="bottomLeft" state="frozen"/>
      <selection pane="bottomLeft" sqref="A1:F1"/>
    </sheetView>
  </sheetViews>
  <sheetFormatPr defaultColWidth="8.6640625" defaultRowHeight="14.4"/>
  <cols>
    <col min="1" max="1" width="22" customWidth="1"/>
    <col min="2" max="2" width="28" customWidth="1"/>
    <col min="3" max="3" width="45" customWidth="1"/>
    <col min="4" max="4" width="28" customWidth="1"/>
    <col min="5" max="5" width="16" customWidth="1"/>
    <col min="6" max="6" width="14" customWidth="1"/>
  </cols>
  <sheetData>
    <row r="1" spans="1:6" ht="45" customHeight="1">
      <c r="A1" s="45" t="s">
        <v>358</v>
      </c>
      <c r="B1" s="45"/>
      <c r="C1" s="45"/>
      <c r="D1" s="45"/>
      <c r="E1" s="45"/>
      <c r="F1" s="45"/>
    </row>
    <row r="2" spans="1:6" ht="21.75" customHeight="1">
      <c r="A2" s="46" t="s">
        <v>359</v>
      </c>
      <c r="B2" s="46"/>
      <c r="C2" s="46"/>
      <c r="D2" s="46"/>
      <c r="E2" s="46"/>
      <c r="F2" s="46"/>
    </row>
    <row r="3" spans="1:6" ht="30" customHeight="1">
      <c r="A3" s="1" t="s">
        <v>3</v>
      </c>
      <c r="B3" s="1" t="s">
        <v>360</v>
      </c>
      <c r="C3" s="1" t="s">
        <v>361</v>
      </c>
      <c r="D3" s="1" t="s">
        <v>362</v>
      </c>
      <c r="E3" s="1" t="s">
        <v>363</v>
      </c>
      <c r="F3" s="1" t="s">
        <v>364</v>
      </c>
    </row>
    <row r="4" spans="1:6">
      <c r="A4" s="2" t="s">
        <v>23</v>
      </c>
      <c r="B4" s="2" t="s">
        <v>365</v>
      </c>
      <c r="C4" s="2" t="s">
        <v>366</v>
      </c>
      <c r="D4" s="2" t="s">
        <v>367</v>
      </c>
      <c r="E4" s="5" t="s">
        <v>194</v>
      </c>
      <c r="F4" s="4" t="s">
        <v>208</v>
      </c>
    </row>
    <row r="5" spans="1:6">
      <c r="A5" s="3" t="s">
        <v>23</v>
      </c>
      <c r="B5" s="3" t="s">
        <v>368</v>
      </c>
      <c r="C5" s="3" t="s">
        <v>369</v>
      </c>
      <c r="D5" s="3" t="s">
        <v>370</v>
      </c>
      <c r="E5" s="7" t="s">
        <v>29</v>
      </c>
      <c r="F5" s="6" t="s">
        <v>299</v>
      </c>
    </row>
    <row r="6" spans="1:6">
      <c r="A6" s="2" t="s">
        <v>32</v>
      </c>
      <c r="B6" s="2" t="s">
        <v>371</v>
      </c>
      <c r="C6" s="2" t="s">
        <v>372</v>
      </c>
      <c r="D6" s="2" t="s">
        <v>373</v>
      </c>
      <c r="E6" s="7" t="s">
        <v>29</v>
      </c>
      <c r="F6" s="4" t="s">
        <v>293</v>
      </c>
    </row>
    <row r="7" spans="1:6">
      <c r="A7" s="3" t="s">
        <v>32</v>
      </c>
      <c r="B7" s="3" t="s">
        <v>365</v>
      </c>
      <c r="C7" s="3" t="s">
        <v>374</v>
      </c>
      <c r="D7" s="3" t="s">
        <v>367</v>
      </c>
      <c r="E7" s="5" t="s">
        <v>194</v>
      </c>
      <c r="F7" s="6" t="s">
        <v>273</v>
      </c>
    </row>
    <row r="8" spans="1:6">
      <c r="A8" s="2" t="s">
        <v>32</v>
      </c>
      <c r="B8" s="2" t="s">
        <v>375</v>
      </c>
      <c r="C8" s="2" t="s">
        <v>376</v>
      </c>
      <c r="D8" s="2" t="s">
        <v>27</v>
      </c>
      <c r="E8" s="7" t="s">
        <v>29</v>
      </c>
      <c r="F8" s="4" t="s">
        <v>292</v>
      </c>
    </row>
    <row r="9" spans="1:6">
      <c r="A9" s="3" t="s">
        <v>38</v>
      </c>
      <c r="B9" s="3" t="s">
        <v>375</v>
      </c>
      <c r="C9" s="3" t="s">
        <v>377</v>
      </c>
      <c r="D9" s="3" t="s">
        <v>27</v>
      </c>
      <c r="E9" s="5" t="s">
        <v>194</v>
      </c>
      <c r="F9" s="6" t="s">
        <v>291</v>
      </c>
    </row>
    <row r="10" spans="1:6">
      <c r="A10" s="2" t="s">
        <v>38</v>
      </c>
      <c r="B10" s="2" t="s">
        <v>378</v>
      </c>
      <c r="C10" s="2" t="s">
        <v>379</v>
      </c>
      <c r="D10" s="2" t="s">
        <v>380</v>
      </c>
      <c r="E10" s="5" t="s">
        <v>194</v>
      </c>
      <c r="F10" s="4" t="s">
        <v>261</v>
      </c>
    </row>
    <row r="11" spans="1:6">
      <c r="A11" s="3" t="s">
        <v>38</v>
      </c>
      <c r="B11" s="3" t="s">
        <v>368</v>
      </c>
      <c r="C11" s="3" t="s">
        <v>381</v>
      </c>
      <c r="D11" s="3" t="s">
        <v>370</v>
      </c>
      <c r="E11" s="5" t="s">
        <v>194</v>
      </c>
      <c r="F11" s="6" t="s">
        <v>171</v>
      </c>
    </row>
    <row r="12" spans="1:6">
      <c r="A12" s="2" t="s">
        <v>44</v>
      </c>
      <c r="B12" s="2" t="s">
        <v>368</v>
      </c>
      <c r="C12" s="2" t="s">
        <v>382</v>
      </c>
      <c r="D12" s="2" t="s">
        <v>370</v>
      </c>
      <c r="E12" s="11" t="s">
        <v>195</v>
      </c>
      <c r="F12" s="4" t="s">
        <v>383</v>
      </c>
    </row>
    <row r="13" spans="1:6">
      <c r="A13" s="3" t="s">
        <v>44</v>
      </c>
      <c r="B13" s="3" t="s">
        <v>365</v>
      </c>
      <c r="C13" s="3" t="s">
        <v>384</v>
      </c>
      <c r="D13" s="3" t="s">
        <v>367</v>
      </c>
      <c r="E13" s="11" t="s">
        <v>195</v>
      </c>
      <c r="F13" s="6" t="s">
        <v>289</v>
      </c>
    </row>
    <row r="14" spans="1:6">
      <c r="A14" s="2" t="s">
        <v>44</v>
      </c>
      <c r="B14" s="2" t="s">
        <v>371</v>
      </c>
      <c r="C14" s="2" t="s">
        <v>385</v>
      </c>
      <c r="D14" s="2" t="s">
        <v>373</v>
      </c>
      <c r="E14" s="5" t="s">
        <v>194</v>
      </c>
      <c r="F14" s="4" t="s">
        <v>305</v>
      </c>
    </row>
    <row r="15" spans="1:6">
      <c r="A15" s="3" t="s">
        <v>49</v>
      </c>
      <c r="B15" s="3" t="s">
        <v>375</v>
      </c>
      <c r="C15" s="3" t="s">
        <v>386</v>
      </c>
      <c r="D15" s="3" t="s">
        <v>27</v>
      </c>
      <c r="E15" s="5" t="s">
        <v>194</v>
      </c>
      <c r="F15" s="6" t="s">
        <v>215</v>
      </c>
    </row>
    <row r="16" spans="1:6">
      <c r="A16" s="2" t="s">
        <v>49</v>
      </c>
      <c r="B16" s="2" t="s">
        <v>378</v>
      </c>
      <c r="C16" s="2" t="s">
        <v>387</v>
      </c>
      <c r="D16" s="2" t="s">
        <v>380</v>
      </c>
      <c r="E16" s="5" t="s">
        <v>194</v>
      </c>
      <c r="F16" s="4" t="s">
        <v>383</v>
      </c>
    </row>
    <row r="17" spans="1:6">
      <c r="A17" s="3" t="s">
        <v>54</v>
      </c>
      <c r="B17" s="3" t="s">
        <v>375</v>
      </c>
      <c r="C17" s="3" t="s">
        <v>388</v>
      </c>
      <c r="D17" s="3" t="s">
        <v>27</v>
      </c>
      <c r="E17" s="11" t="s">
        <v>195</v>
      </c>
      <c r="F17" s="6" t="s">
        <v>213</v>
      </c>
    </row>
    <row r="18" spans="1:6">
      <c r="A18" s="2" t="s">
        <v>58</v>
      </c>
      <c r="B18" s="2" t="s">
        <v>365</v>
      </c>
      <c r="C18" s="2" t="s">
        <v>389</v>
      </c>
      <c r="D18" s="2" t="s">
        <v>367</v>
      </c>
      <c r="E18" s="7" t="s">
        <v>29</v>
      </c>
      <c r="F18" s="4" t="s">
        <v>293</v>
      </c>
    </row>
    <row r="19" spans="1:6">
      <c r="A19" s="3" t="s">
        <v>62</v>
      </c>
      <c r="B19" s="3" t="s">
        <v>368</v>
      </c>
      <c r="C19" s="3" t="s">
        <v>390</v>
      </c>
      <c r="D19" s="3" t="s">
        <v>370</v>
      </c>
      <c r="E19" s="5" t="s">
        <v>194</v>
      </c>
      <c r="F19" s="6" t="s">
        <v>318</v>
      </c>
    </row>
    <row r="20" spans="1:6">
      <c r="A20" s="2" t="s">
        <v>62</v>
      </c>
      <c r="B20" s="2" t="s">
        <v>378</v>
      </c>
      <c r="C20" s="2" t="s">
        <v>391</v>
      </c>
      <c r="D20" s="2" t="s">
        <v>380</v>
      </c>
      <c r="E20" s="5" t="s">
        <v>194</v>
      </c>
      <c r="F20" s="4" t="s">
        <v>392</v>
      </c>
    </row>
    <row r="21" spans="1:6">
      <c r="A21" s="3" t="s">
        <v>66</v>
      </c>
      <c r="B21" s="3" t="s">
        <v>371</v>
      </c>
      <c r="C21" s="3" t="s">
        <v>393</v>
      </c>
      <c r="D21" s="3" t="s">
        <v>373</v>
      </c>
      <c r="E21" s="5" t="s">
        <v>194</v>
      </c>
      <c r="F21" s="6" t="s">
        <v>316</v>
      </c>
    </row>
    <row r="22" spans="1:6">
      <c r="A22" s="2" t="s">
        <v>66</v>
      </c>
      <c r="B22" s="2" t="s">
        <v>365</v>
      </c>
      <c r="C22" s="2" t="s">
        <v>394</v>
      </c>
      <c r="D22" s="2" t="s">
        <v>367</v>
      </c>
      <c r="E22" s="7" t="s">
        <v>29</v>
      </c>
      <c r="F22" s="4" t="s">
        <v>180</v>
      </c>
    </row>
    <row r="23" spans="1:6">
      <c r="A23" s="3" t="s">
        <v>70</v>
      </c>
      <c r="B23" s="3" t="s">
        <v>368</v>
      </c>
      <c r="C23" s="3" t="s">
        <v>395</v>
      </c>
      <c r="D23" s="3" t="s">
        <v>370</v>
      </c>
      <c r="E23" s="5" t="s">
        <v>194</v>
      </c>
      <c r="F23" s="6" t="s">
        <v>174</v>
      </c>
    </row>
    <row r="24" spans="1:6">
      <c r="A24" s="2" t="s">
        <v>74</v>
      </c>
      <c r="B24" s="2" t="s">
        <v>368</v>
      </c>
      <c r="C24" s="2" t="s">
        <v>396</v>
      </c>
      <c r="D24" s="2" t="s">
        <v>370</v>
      </c>
      <c r="E24" s="5" t="s">
        <v>194</v>
      </c>
      <c r="F24" s="4" t="s">
        <v>310</v>
      </c>
    </row>
    <row r="25" spans="1:6">
      <c r="A25" s="3" t="s">
        <v>74</v>
      </c>
      <c r="B25" s="3" t="s">
        <v>365</v>
      </c>
      <c r="C25" s="3" t="s">
        <v>397</v>
      </c>
      <c r="D25" s="3" t="s">
        <v>367</v>
      </c>
      <c r="E25" s="5" t="s">
        <v>194</v>
      </c>
      <c r="F25" s="6" t="s">
        <v>309</v>
      </c>
    </row>
    <row r="26" spans="1:6">
      <c r="A26" s="2" t="s">
        <v>78</v>
      </c>
      <c r="B26" s="2" t="s">
        <v>375</v>
      </c>
      <c r="C26" s="2" t="s">
        <v>398</v>
      </c>
      <c r="D26" s="2" t="s">
        <v>27</v>
      </c>
      <c r="E26" s="11" t="s">
        <v>195</v>
      </c>
      <c r="F26" s="4" t="s">
        <v>383</v>
      </c>
    </row>
    <row r="27" spans="1:6">
      <c r="A27" s="3" t="s">
        <v>82</v>
      </c>
      <c r="B27" s="3" t="s">
        <v>368</v>
      </c>
      <c r="C27" s="3" t="s">
        <v>399</v>
      </c>
      <c r="D27" s="3" t="s">
        <v>370</v>
      </c>
      <c r="E27" s="11" t="s">
        <v>195</v>
      </c>
      <c r="F27" s="6" t="s">
        <v>274</v>
      </c>
    </row>
    <row r="28" spans="1:6">
      <c r="A28" s="2" t="s">
        <v>82</v>
      </c>
      <c r="B28" s="2" t="s">
        <v>375</v>
      </c>
      <c r="C28" s="2" t="s">
        <v>400</v>
      </c>
      <c r="D28" s="2" t="s">
        <v>27</v>
      </c>
      <c r="E28" s="5" t="s">
        <v>194</v>
      </c>
      <c r="F28" s="4" t="s">
        <v>301</v>
      </c>
    </row>
    <row r="29" spans="1:6">
      <c r="A29" s="3" t="s">
        <v>82</v>
      </c>
      <c r="B29" s="3" t="s">
        <v>375</v>
      </c>
      <c r="C29" s="3" t="s">
        <v>400</v>
      </c>
      <c r="D29" s="3" t="s">
        <v>27</v>
      </c>
      <c r="E29" s="5" t="s">
        <v>194</v>
      </c>
      <c r="F29" s="6" t="s">
        <v>298</v>
      </c>
    </row>
    <row r="30" spans="1:6">
      <c r="A30" s="2" t="s">
        <v>86</v>
      </c>
      <c r="B30" s="2" t="s">
        <v>378</v>
      </c>
      <c r="C30" s="2" t="s">
        <v>401</v>
      </c>
      <c r="D30" s="2" t="s">
        <v>380</v>
      </c>
      <c r="E30" s="5" t="s">
        <v>194</v>
      </c>
      <c r="F30" s="4" t="s">
        <v>287</v>
      </c>
    </row>
    <row r="31" spans="1:6">
      <c r="A31" s="3" t="s">
        <v>86</v>
      </c>
      <c r="B31" s="3" t="s">
        <v>371</v>
      </c>
      <c r="C31" s="3" t="s">
        <v>402</v>
      </c>
      <c r="D31" s="3" t="s">
        <v>373</v>
      </c>
      <c r="E31" s="11" t="s">
        <v>195</v>
      </c>
      <c r="F31" s="6" t="s">
        <v>298</v>
      </c>
    </row>
    <row r="32" spans="1:6">
      <c r="A32" s="2" t="s">
        <v>90</v>
      </c>
      <c r="B32" s="2" t="s">
        <v>371</v>
      </c>
      <c r="C32" s="2" t="s">
        <v>403</v>
      </c>
      <c r="D32" s="2" t="s">
        <v>373</v>
      </c>
      <c r="E32" s="11" t="s">
        <v>195</v>
      </c>
      <c r="F32" s="4" t="s">
        <v>282</v>
      </c>
    </row>
    <row r="33" spans="1:6">
      <c r="A33" s="3" t="s">
        <v>90</v>
      </c>
      <c r="B33" s="3" t="s">
        <v>375</v>
      </c>
      <c r="C33" s="3" t="s">
        <v>404</v>
      </c>
      <c r="D33" s="3" t="s">
        <v>27</v>
      </c>
      <c r="E33" s="7" t="s">
        <v>29</v>
      </c>
      <c r="F33" s="6" t="s">
        <v>286</v>
      </c>
    </row>
    <row r="34" spans="1:6">
      <c r="A34" s="2" t="s">
        <v>90</v>
      </c>
      <c r="B34" s="2" t="s">
        <v>378</v>
      </c>
      <c r="C34" s="2" t="s">
        <v>405</v>
      </c>
      <c r="D34" s="2" t="s">
        <v>380</v>
      </c>
      <c r="E34" s="5" t="s">
        <v>194</v>
      </c>
      <c r="F34" s="4" t="s">
        <v>218</v>
      </c>
    </row>
    <row r="35" spans="1:6">
      <c r="A35" s="3" t="s">
        <v>94</v>
      </c>
      <c r="B35" s="3" t="s">
        <v>368</v>
      </c>
      <c r="C35" s="3" t="s">
        <v>406</v>
      </c>
      <c r="D35" s="3" t="s">
        <v>370</v>
      </c>
      <c r="E35" s="7" t="s">
        <v>29</v>
      </c>
      <c r="F35" s="6" t="s">
        <v>310</v>
      </c>
    </row>
    <row r="36" spans="1:6">
      <c r="A36" s="2" t="s">
        <v>94</v>
      </c>
      <c r="B36" s="2" t="s">
        <v>375</v>
      </c>
      <c r="C36" s="2" t="s">
        <v>407</v>
      </c>
      <c r="D36" s="2" t="s">
        <v>27</v>
      </c>
      <c r="E36" s="11" t="s">
        <v>195</v>
      </c>
      <c r="F36" s="4" t="s">
        <v>169</v>
      </c>
    </row>
    <row r="37" spans="1:6">
      <c r="A37" s="3" t="s">
        <v>94</v>
      </c>
      <c r="B37" s="3" t="s">
        <v>368</v>
      </c>
      <c r="C37" s="3" t="s">
        <v>406</v>
      </c>
      <c r="D37" s="3" t="s">
        <v>370</v>
      </c>
      <c r="E37" s="11" t="s">
        <v>195</v>
      </c>
      <c r="F37" s="6" t="s">
        <v>208</v>
      </c>
    </row>
    <row r="38" spans="1:6">
      <c r="A38" s="2" t="s">
        <v>98</v>
      </c>
      <c r="B38" s="2" t="s">
        <v>375</v>
      </c>
      <c r="C38" s="2" t="s">
        <v>408</v>
      </c>
      <c r="D38" s="2" t="s">
        <v>27</v>
      </c>
      <c r="E38" s="11" t="s">
        <v>195</v>
      </c>
      <c r="F38" s="4" t="s">
        <v>273</v>
      </c>
    </row>
    <row r="39" spans="1:6">
      <c r="A39" s="3" t="s">
        <v>98</v>
      </c>
      <c r="B39" s="3" t="s">
        <v>378</v>
      </c>
      <c r="C39" s="3" t="s">
        <v>409</v>
      </c>
      <c r="D39" s="3" t="s">
        <v>380</v>
      </c>
      <c r="E39" s="5" t="s">
        <v>194</v>
      </c>
      <c r="F39" s="6" t="s">
        <v>289</v>
      </c>
    </row>
    <row r="40" spans="1:6">
      <c r="A40" s="2" t="s">
        <v>102</v>
      </c>
      <c r="B40" s="2" t="s">
        <v>365</v>
      </c>
      <c r="C40" s="2" t="s">
        <v>410</v>
      </c>
      <c r="D40" s="2" t="s">
        <v>367</v>
      </c>
      <c r="E40" s="11" t="s">
        <v>195</v>
      </c>
      <c r="F40" s="4" t="s">
        <v>305</v>
      </c>
    </row>
    <row r="41" spans="1:6">
      <c r="A41" s="3" t="s">
        <v>106</v>
      </c>
      <c r="B41" s="3" t="s">
        <v>378</v>
      </c>
      <c r="C41" s="3" t="s">
        <v>411</v>
      </c>
      <c r="D41" s="3" t="s">
        <v>380</v>
      </c>
      <c r="E41" s="7" t="s">
        <v>29</v>
      </c>
      <c r="F41" s="6" t="s">
        <v>208</v>
      </c>
    </row>
    <row r="42" spans="1:6">
      <c r="A42" s="2" t="s">
        <v>106</v>
      </c>
      <c r="B42" s="2" t="s">
        <v>368</v>
      </c>
      <c r="C42" s="2" t="s">
        <v>412</v>
      </c>
      <c r="D42" s="2" t="s">
        <v>370</v>
      </c>
      <c r="E42" s="5" t="s">
        <v>194</v>
      </c>
      <c r="F42" s="4" t="s">
        <v>316</v>
      </c>
    </row>
    <row r="43" spans="1:6">
      <c r="A43" s="3" t="s">
        <v>110</v>
      </c>
      <c r="B43" s="3" t="s">
        <v>365</v>
      </c>
      <c r="C43" s="3" t="s">
        <v>413</v>
      </c>
      <c r="D43" s="3" t="s">
        <v>367</v>
      </c>
      <c r="E43" s="5" t="s">
        <v>194</v>
      </c>
      <c r="F43" s="6" t="s">
        <v>319</v>
      </c>
    </row>
    <row r="44" spans="1:6">
      <c r="A44" s="2" t="s">
        <v>110</v>
      </c>
      <c r="B44" s="2" t="s">
        <v>368</v>
      </c>
      <c r="C44" s="2" t="s">
        <v>414</v>
      </c>
      <c r="D44" s="2" t="s">
        <v>370</v>
      </c>
      <c r="E44" s="11" t="s">
        <v>195</v>
      </c>
      <c r="F44" s="4" t="s">
        <v>295</v>
      </c>
    </row>
    <row r="45" spans="1:6">
      <c r="A45" s="3" t="s">
        <v>110</v>
      </c>
      <c r="B45" s="3" t="s">
        <v>368</v>
      </c>
      <c r="C45" s="3" t="s">
        <v>414</v>
      </c>
      <c r="D45" s="3" t="s">
        <v>370</v>
      </c>
      <c r="E45" s="11" t="s">
        <v>195</v>
      </c>
      <c r="F45" s="6" t="s">
        <v>214</v>
      </c>
    </row>
    <row r="46" spans="1:6">
      <c r="A46" s="2" t="s">
        <v>114</v>
      </c>
      <c r="B46" s="2" t="s">
        <v>375</v>
      </c>
      <c r="C46" s="2" t="s">
        <v>415</v>
      </c>
      <c r="D46" s="2" t="s">
        <v>27</v>
      </c>
      <c r="E46" s="5" t="s">
        <v>194</v>
      </c>
      <c r="F46" s="4" t="s">
        <v>314</v>
      </c>
    </row>
    <row r="47" spans="1:6">
      <c r="A47" s="3" t="s">
        <v>118</v>
      </c>
      <c r="B47" s="3" t="s">
        <v>365</v>
      </c>
      <c r="C47" s="3" t="s">
        <v>416</v>
      </c>
      <c r="D47" s="3" t="s">
        <v>367</v>
      </c>
      <c r="E47" s="7" t="s">
        <v>29</v>
      </c>
      <c r="F47" s="6" t="s">
        <v>169</v>
      </c>
    </row>
    <row r="48" spans="1:6">
      <c r="A48" s="2" t="s">
        <v>122</v>
      </c>
      <c r="B48" s="2" t="s">
        <v>365</v>
      </c>
      <c r="C48" s="2" t="s">
        <v>417</v>
      </c>
      <c r="D48" s="2" t="s">
        <v>367</v>
      </c>
      <c r="E48" s="5" t="s">
        <v>194</v>
      </c>
      <c r="F48" s="4" t="s">
        <v>281</v>
      </c>
    </row>
    <row r="49" spans="1:6">
      <c r="A49" s="3" t="s">
        <v>122</v>
      </c>
      <c r="B49" s="3" t="s">
        <v>368</v>
      </c>
      <c r="C49" s="3" t="s">
        <v>418</v>
      </c>
      <c r="D49" s="3" t="s">
        <v>370</v>
      </c>
      <c r="E49" s="5" t="s">
        <v>194</v>
      </c>
      <c r="F49" s="6" t="s">
        <v>324</v>
      </c>
    </row>
    <row r="50" spans="1:6">
      <c r="A50" s="2" t="s">
        <v>122</v>
      </c>
      <c r="B50" s="2" t="s">
        <v>371</v>
      </c>
      <c r="C50" s="2" t="s">
        <v>419</v>
      </c>
      <c r="D50" s="2" t="s">
        <v>373</v>
      </c>
      <c r="E50" s="5" t="s">
        <v>194</v>
      </c>
      <c r="F50" s="4" t="s">
        <v>289</v>
      </c>
    </row>
    <row r="51" spans="1:6">
      <c r="A51" s="3" t="s">
        <v>126</v>
      </c>
      <c r="B51" s="3" t="s">
        <v>371</v>
      </c>
      <c r="C51" s="3" t="s">
        <v>420</v>
      </c>
      <c r="D51" s="3" t="s">
        <v>373</v>
      </c>
      <c r="E51" s="5" t="s">
        <v>194</v>
      </c>
      <c r="F51" s="6" t="s">
        <v>312</v>
      </c>
    </row>
    <row r="52" spans="1:6">
      <c r="A52" s="2" t="s">
        <v>130</v>
      </c>
      <c r="B52" s="2" t="s">
        <v>375</v>
      </c>
      <c r="C52" s="2" t="s">
        <v>421</v>
      </c>
      <c r="D52" s="2" t="s">
        <v>27</v>
      </c>
      <c r="E52" s="11" t="s">
        <v>195</v>
      </c>
      <c r="F52" s="4" t="s">
        <v>283</v>
      </c>
    </row>
    <row r="53" spans="1:6">
      <c r="A53" s="3" t="s">
        <v>130</v>
      </c>
      <c r="B53" s="3" t="s">
        <v>371</v>
      </c>
      <c r="C53" s="3" t="s">
        <v>422</v>
      </c>
      <c r="D53" s="3" t="s">
        <v>373</v>
      </c>
      <c r="E53" s="11" t="s">
        <v>195</v>
      </c>
      <c r="F53" s="6" t="s">
        <v>323</v>
      </c>
    </row>
    <row r="54" spans="1:6">
      <c r="A54" s="2" t="s">
        <v>130</v>
      </c>
      <c r="B54" s="2" t="s">
        <v>375</v>
      </c>
      <c r="C54" s="2" t="s">
        <v>421</v>
      </c>
      <c r="D54" s="2" t="s">
        <v>27</v>
      </c>
      <c r="E54" s="5" t="s">
        <v>194</v>
      </c>
      <c r="F54" s="4" t="s">
        <v>281</v>
      </c>
    </row>
    <row r="55" spans="1:6">
      <c r="A55" s="3" t="s">
        <v>134</v>
      </c>
      <c r="B55" s="3" t="s">
        <v>371</v>
      </c>
      <c r="C55" s="3" t="s">
        <v>423</v>
      </c>
      <c r="D55" s="3" t="s">
        <v>373</v>
      </c>
      <c r="E55" s="11" t="s">
        <v>195</v>
      </c>
      <c r="F55" s="6" t="s">
        <v>181</v>
      </c>
    </row>
    <row r="56" spans="1:6">
      <c r="A56" s="2" t="s">
        <v>134</v>
      </c>
      <c r="B56" s="2" t="s">
        <v>378</v>
      </c>
      <c r="C56" s="2" t="s">
        <v>424</v>
      </c>
      <c r="D56" s="2" t="s">
        <v>380</v>
      </c>
      <c r="E56" s="5" t="s">
        <v>194</v>
      </c>
      <c r="F56" s="4" t="s">
        <v>314</v>
      </c>
    </row>
    <row r="57" spans="1:6">
      <c r="A57" s="3" t="s">
        <v>134</v>
      </c>
      <c r="B57" s="3" t="s">
        <v>368</v>
      </c>
      <c r="C57" s="3" t="s">
        <v>425</v>
      </c>
      <c r="D57" s="3" t="s">
        <v>370</v>
      </c>
      <c r="E57" s="7" t="s">
        <v>29</v>
      </c>
      <c r="F57" s="6" t="s">
        <v>213</v>
      </c>
    </row>
    <row r="58" spans="1:6">
      <c r="A58" s="2" t="s">
        <v>138</v>
      </c>
      <c r="B58" s="2" t="s">
        <v>371</v>
      </c>
      <c r="C58" s="2" t="s">
        <v>426</v>
      </c>
      <c r="D58" s="2" t="s">
        <v>373</v>
      </c>
      <c r="E58" s="11" t="s">
        <v>195</v>
      </c>
      <c r="F58" s="4" t="s">
        <v>324</v>
      </c>
    </row>
    <row r="59" spans="1:6">
      <c r="A59" s="3" t="s">
        <v>138</v>
      </c>
      <c r="B59" s="3" t="s">
        <v>371</v>
      </c>
      <c r="C59" s="3" t="s">
        <v>426</v>
      </c>
      <c r="D59" s="3" t="s">
        <v>373</v>
      </c>
      <c r="E59" s="5" t="s">
        <v>194</v>
      </c>
      <c r="F59" s="6" t="s">
        <v>214</v>
      </c>
    </row>
    <row r="60" spans="1:6">
      <c r="A60" s="2" t="s">
        <v>138</v>
      </c>
      <c r="B60" s="2" t="s">
        <v>365</v>
      </c>
      <c r="C60" s="2" t="s">
        <v>427</v>
      </c>
      <c r="D60" s="2" t="s">
        <v>367</v>
      </c>
      <c r="E60" s="5" t="s">
        <v>194</v>
      </c>
      <c r="F60" s="4" t="s">
        <v>321</v>
      </c>
    </row>
    <row r="61" spans="1:6">
      <c r="A61" s="3" t="s">
        <v>142</v>
      </c>
      <c r="B61" s="3" t="s">
        <v>365</v>
      </c>
      <c r="C61" s="3" t="s">
        <v>428</v>
      </c>
      <c r="D61" s="3" t="s">
        <v>367</v>
      </c>
      <c r="E61" s="5" t="s">
        <v>194</v>
      </c>
      <c r="F61" s="6" t="s">
        <v>275</v>
      </c>
    </row>
    <row r="62" spans="1:6">
      <c r="A62" s="2" t="s">
        <v>142</v>
      </c>
      <c r="B62" s="2" t="s">
        <v>365</v>
      </c>
      <c r="C62" s="2" t="s">
        <v>428</v>
      </c>
      <c r="D62" s="2" t="s">
        <v>367</v>
      </c>
      <c r="E62" s="7" t="s">
        <v>29</v>
      </c>
      <c r="F62" s="4" t="s">
        <v>276</v>
      </c>
    </row>
    <row r="63" spans="1:6">
      <c r="A63" s="3" t="s">
        <v>146</v>
      </c>
      <c r="B63" s="3" t="s">
        <v>378</v>
      </c>
      <c r="C63" s="3" t="s">
        <v>429</v>
      </c>
      <c r="D63" s="3" t="s">
        <v>380</v>
      </c>
      <c r="E63" s="11" t="s">
        <v>195</v>
      </c>
      <c r="F63" s="6" t="s">
        <v>169</v>
      </c>
    </row>
    <row r="64" spans="1:6">
      <c r="A64" s="2" t="s">
        <v>150</v>
      </c>
      <c r="B64" s="2" t="s">
        <v>375</v>
      </c>
      <c r="C64" s="2" t="s">
        <v>430</v>
      </c>
      <c r="D64" s="2" t="s">
        <v>27</v>
      </c>
      <c r="E64" s="5" t="s">
        <v>194</v>
      </c>
      <c r="F64" s="4" t="s">
        <v>181</v>
      </c>
    </row>
  </sheetData>
  <autoFilter ref="A3:F65" xr:uid="{00000000-0009-0000-0000-000008000000}"/>
  <mergeCells count="2">
    <mergeCell ref="A1:F1"/>
    <mergeCell ref="A2:F2"/>
  </mergeCells>
  <dataValidations count="1">
    <dataValidation type="list" allowBlank="1" sqref="E4:E200" xr:uid="{00000000-0002-0000-0800-000000000000}">
      <formula1>"Completed,In Progress,Pending"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44"/>
  <sheetViews>
    <sheetView showGridLines="0" topLeftCell="A7" zoomScaleNormal="100" workbookViewId="0">
      <selection sqref="A1:P1"/>
    </sheetView>
  </sheetViews>
  <sheetFormatPr defaultColWidth="8.6640625" defaultRowHeight="14.4"/>
  <cols>
    <col min="1" max="16" width="14" customWidth="1"/>
  </cols>
  <sheetData>
    <row r="1" spans="1:16" ht="54.75" customHeight="1">
      <c r="A1" s="73" t="s">
        <v>431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</row>
    <row r="2" spans="1:16" ht="18" customHeight="1">
      <c r="A2" s="46" t="s">
        <v>432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</row>
    <row r="4" spans="1:16" ht="19.5" customHeight="1">
      <c r="A4" s="74" t="s">
        <v>433</v>
      </c>
      <c r="B4" s="74"/>
      <c r="C4" s="74"/>
      <c r="E4" s="60" t="s">
        <v>434</v>
      </c>
      <c r="F4" s="60"/>
      <c r="G4" s="60"/>
      <c r="I4" s="75" t="s">
        <v>435</v>
      </c>
      <c r="J4" s="75"/>
      <c r="K4" s="75"/>
      <c r="M4" s="76" t="s">
        <v>436</v>
      </c>
      <c r="N4" s="76"/>
      <c r="O4" s="76"/>
    </row>
    <row r="5" spans="1:16" ht="36" customHeight="1">
      <c r="A5" s="67">
        <f>COUNTA('Student Master'!B4:B33)</f>
        <v>30</v>
      </c>
      <c r="B5" s="67"/>
      <c r="C5" s="67"/>
      <c r="E5" s="51">
        <f>COUNTIF('Student Master'!T4:T33,"Ready")</f>
        <v>1</v>
      </c>
      <c r="F5" s="51"/>
      <c r="G5" s="51"/>
      <c r="I5" s="68">
        <f>COUNTIF('Student Master'!T4:T33,"Need Improvement")</f>
        <v>29</v>
      </c>
      <c r="J5" s="68"/>
      <c r="K5" s="68"/>
      <c r="M5" s="69">
        <f>COUNTIF('Student Master'!T4:T33,"Not Ready")</f>
        <v>0</v>
      </c>
      <c r="N5" s="69"/>
      <c r="O5" s="69"/>
    </row>
    <row r="6" spans="1:16" ht="19.5" customHeight="1">
      <c r="A6" s="70" t="s">
        <v>437</v>
      </c>
      <c r="B6" s="70"/>
      <c r="C6" s="70"/>
      <c r="E6" s="54" t="s">
        <v>438</v>
      </c>
      <c r="F6" s="54"/>
      <c r="G6" s="54"/>
      <c r="I6" s="71" t="s">
        <v>439</v>
      </c>
      <c r="J6" s="71"/>
      <c r="K6" s="71"/>
      <c r="M6" s="72" t="s">
        <v>440</v>
      </c>
      <c r="N6" s="72"/>
      <c r="O6" s="72"/>
    </row>
    <row r="8" spans="1:16" ht="19.5" customHeight="1">
      <c r="A8" s="61" t="s">
        <v>441</v>
      </c>
      <c r="B8" s="61"/>
      <c r="C8" s="61"/>
      <c r="E8" s="62" t="s">
        <v>442</v>
      </c>
      <c r="F8" s="62"/>
      <c r="G8" s="62"/>
      <c r="I8" s="63" t="s">
        <v>443</v>
      </c>
      <c r="J8" s="63"/>
      <c r="K8" s="63"/>
      <c r="M8" s="60" t="s">
        <v>444</v>
      </c>
      <c r="N8" s="60"/>
      <c r="O8" s="60"/>
    </row>
    <row r="9" spans="1:16" ht="36" customHeight="1">
      <c r="A9" s="64">
        <f>COUNTIF('Company Database'!J4:J18,"Contacted")+COUNTIF('Company Database'!J4:J18,"Follow Up")+COUNTIF('Company Database'!J4:J18,"Interview Scheduled")+COUNTIF('Company Database'!J4:J18,"Hired")</f>
        <v>1</v>
      </c>
      <c r="B9" s="64"/>
      <c r="C9" s="64"/>
      <c r="E9" s="65">
        <f>COUNTA('Job Application Tracker'!A4:A65)</f>
        <v>62</v>
      </c>
      <c r="F9" s="65"/>
      <c r="G9" s="65"/>
      <c r="I9" s="66">
        <f>COUNTIF('Job Application Tracker'!E4:E65,"Interview Scheduled")</f>
        <v>14</v>
      </c>
      <c r="J9" s="66"/>
      <c r="K9" s="66"/>
      <c r="M9" s="51">
        <f>COUNTIF('Placement Tracker'!G4:G18,"Placed")+COUNTIF('Placement Tracker'!G4:G18,"Joined")</f>
        <v>10</v>
      </c>
      <c r="N9" s="51"/>
      <c r="O9" s="51"/>
    </row>
    <row r="10" spans="1:16" ht="19.5" customHeight="1">
      <c r="A10" s="55" t="s">
        <v>445</v>
      </c>
      <c r="B10" s="55"/>
      <c r="C10" s="55"/>
      <c r="E10" s="56" t="s">
        <v>446</v>
      </c>
      <c r="F10" s="56"/>
      <c r="G10" s="56"/>
      <c r="I10" s="57" t="s">
        <v>447</v>
      </c>
      <c r="J10" s="57"/>
      <c r="K10" s="57"/>
      <c r="M10" s="54" t="s">
        <v>448</v>
      </c>
      <c r="N10" s="54"/>
      <c r="O10" s="54"/>
    </row>
    <row r="12" spans="1:16" ht="19.5" customHeight="1">
      <c r="A12" s="58" t="s">
        <v>449</v>
      </c>
      <c r="B12" s="58"/>
      <c r="C12" s="58"/>
      <c r="E12" s="59" t="s">
        <v>450</v>
      </c>
      <c r="F12" s="59"/>
      <c r="G12" s="59"/>
      <c r="I12" s="60" t="s">
        <v>451</v>
      </c>
      <c r="J12" s="60"/>
      <c r="K12" s="60"/>
      <c r="M12" s="58" t="s">
        <v>452</v>
      </c>
      <c r="N12" s="58"/>
      <c r="O12" s="58"/>
    </row>
    <row r="13" spans="1:16" ht="36" customHeight="1">
      <c r="A13" s="49" t="str">
        <f>TEXT(IFERROR((COUNTIF('Placement Tracker'!G4:G18,"Placed")+COUNTIF('Placement Tracker'!G4:G18,"Joined"))/30,0),"0.0%")</f>
        <v>33.3%</v>
      </c>
      <c r="B13" s="49"/>
      <c r="C13" s="49"/>
      <c r="E13" s="50" t="str">
        <f>IFERROR(TEXT(AVERAGE('Mock Interview Tracker'!K4:K33),"0.0"),"N/A")</f>
        <v>74.5</v>
      </c>
      <c r="F13" s="50"/>
      <c r="G13" s="50"/>
      <c r="I13" s="51">
        <f>COUNTIF('Placement Tracker'!G4:G18,"Joined")</f>
        <v>2</v>
      </c>
      <c r="J13" s="51"/>
      <c r="K13" s="51"/>
      <c r="M13" s="49" t="str">
        <f>IFERROR(TEXT(AVERAGE('Placement Tracker'!D4:D18),"0.00"),"N/A")</f>
        <v>5.45</v>
      </c>
      <c r="N13" s="49"/>
      <c r="O13" s="49"/>
    </row>
    <row r="14" spans="1:16" ht="19.5" customHeight="1">
      <c r="A14" s="52" t="s">
        <v>453</v>
      </c>
      <c r="B14" s="52"/>
      <c r="C14" s="52"/>
      <c r="E14" s="53" t="s">
        <v>454</v>
      </c>
      <c r="F14" s="53"/>
      <c r="G14" s="53"/>
      <c r="I14" s="54" t="s">
        <v>455</v>
      </c>
      <c r="J14" s="54"/>
      <c r="K14" s="54"/>
      <c r="M14" s="52" t="s">
        <v>456</v>
      </c>
      <c r="N14" s="52"/>
      <c r="O14" s="52"/>
    </row>
    <row r="16" spans="1:16" ht="27.75" customHeight="1">
      <c r="A16" s="48" t="s">
        <v>457</v>
      </c>
      <c r="B16" s="48"/>
      <c r="C16" s="48"/>
      <c r="D16" s="48"/>
      <c r="E16" s="48"/>
      <c r="F16" s="48"/>
      <c r="G16" s="48"/>
      <c r="H16" s="48"/>
      <c r="I16" s="48" t="s">
        <v>458</v>
      </c>
      <c r="J16" s="48"/>
      <c r="K16" s="48"/>
      <c r="L16" s="48"/>
      <c r="M16" s="48"/>
      <c r="N16" s="48"/>
      <c r="O16" s="48"/>
      <c r="P16" s="48"/>
    </row>
    <row r="17" spans="1:10">
      <c r="A17" s="21" t="s">
        <v>459</v>
      </c>
      <c r="B17" s="21" t="s">
        <v>460</v>
      </c>
      <c r="I17" s="21" t="s">
        <v>461</v>
      </c>
      <c r="J17" s="21" t="s">
        <v>460</v>
      </c>
    </row>
    <row r="18" spans="1:10">
      <c r="A18" s="22" t="s">
        <v>462</v>
      </c>
      <c r="B18" s="22">
        <f>COUNTIF('Student Master'!T4:T33,"Ready")</f>
        <v>1</v>
      </c>
      <c r="I18" s="22" t="s">
        <v>260</v>
      </c>
      <c r="J18" s="22">
        <f>COUNTIF('Job Application Tracker'!E4:E65,"Applied")</f>
        <v>15</v>
      </c>
    </row>
    <row r="19" spans="1:10">
      <c r="A19" s="23" t="s">
        <v>439</v>
      </c>
      <c r="B19" s="23">
        <f>COUNTIF('Student Master'!T4:T33,"Need Improvement")</f>
        <v>29</v>
      </c>
      <c r="I19" s="23" t="s">
        <v>265</v>
      </c>
      <c r="J19" s="23">
        <f>COUNTIF('Job Application Tracker'!E4:E65,"Shortlisted")</f>
        <v>12</v>
      </c>
    </row>
    <row r="20" spans="1:10">
      <c r="A20" s="22" t="s">
        <v>440</v>
      </c>
      <c r="B20" s="22">
        <f>COUNTIF('Student Master'!T4:T33,"Not Ready")</f>
        <v>0</v>
      </c>
      <c r="I20" s="22" t="s">
        <v>237</v>
      </c>
      <c r="J20" s="22">
        <f>COUNTIF('Job Application Tracker'!E4:E65,"Interview Scheduled")</f>
        <v>14</v>
      </c>
    </row>
    <row r="21" spans="1:10">
      <c r="I21" s="23" t="s">
        <v>268</v>
      </c>
      <c r="J21" s="23">
        <f>COUNTIF('Job Application Tracker'!E4:E65,"Selected")</f>
        <v>10</v>
      </c>
    </row>
    <row r="22" spans="1:10">
      <c r="I22" s="22" t="s">
        <v>271</v>
      </c>
      <c r="J22" s="22">
        <f>COUNTIF('Job Application Tracker'!E4:E65,"Rejected")</f>
        <v>11</v>
      </c>
    </row>
    <row r="35" spans="1:16" ht="27.75" customHeight="1">
      <c r="A35" s="48" t="s">
        <v>463</v>
      </c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</row>
    <row r="36" spans="1:16">
      <c r="A36" s="24" t="s">
        <v>464</v>
      </c>
      <c r="B36" s="24" t="s">
        <v>465</v>
      </c>
    </row>
    <row r="37" spans="1:16">
      <c r="A37" s="23" t="s">
        <v>466</v>
      </c>
      <c r="B37" s="25">
        <f>IFERROR(AVERAGE('Mock Interview Tracker'!C4:C33),0)</f>
        <v>74.63333333333334</v>
      </c>
    </row>
    <row r="38" spans="1:16">
      <c r="A38" s="22" t="s">
        <v>467</v>
      </c>
      <c r="B38" s="26">
        <f>IFERROR(AVERAGE('Mock Interview Tracker'!D4:D33),0)</f>
        <v>72.066666666666663</v>
      </c>
    </row>
    <row r="39" spans="1:16">
      <c r="A39" s="23" t="s">
        <v>468</v>
      </c>
      <c r="B39" s="25">
        <f>IFERROR(AVERAGE('Mock Interview Tracker'!E4:E33),0)</f>
        <v>74.433333333333337</v>
      </c>
    </row>
    <row r="40" spans="1:16">
      <c r="A40" s="22" t="s">
        <v>469</v>
      </c>
      <c r="B40" s="26">
        <f>IFERROR(AVERAGE('Mock Interview Tracker'!F4:F33),0)</f>
        <v>74.13333333333334</v>
      </c>
    </row>
    <row r="41" spans="1:16">
      <c r="A41" s="23" t="s">
        <v>470</v>
      </c>
      <c r="B41" s="25">
        <f>IFERROR(AVERAGE('Mock Interview Tracker'!G4:G33),0)</f>
        <v>72.099999999999994</v>
      </c>
    </row>
    <row r="42" spans="1:16">
      <c r="A42" s="22" t="s">
        <v>471</v>
      </c>
      <c r="B42" s="26">
        <f>IFERROR(AVERAGE('Mock Interview Tracker'!H4:H33),0)</f>
        <v>78.3</v>
      </c>
    </row>
    <row r="43" spans="1:16">
      <c r="A43" s="23" t="s">
        <v>472</v>
      </c>
      <c r="B43" s="25">
        <f>IFERROR(AVERAGE('Mock Interview Tracker'!I4:I33),0)</f>
        <v>73.666666666666671</v>
      </c>
    </row>
    <row r="44" spans="1:16">
      <c r="A44" s="22" t="s">
        <v>262</v>
      </c>
      <c r="B44" s="26">
        <f>IFERROR(AVERAGE('Mock Interview Tracker'!J4:J33),0)</f>
        <v>76.833333333333329</v>
      </c>
    </row>
  </sheetData>
  <mergeCells count="41">
    <mergeCell ref="A1:P1"/>
    <mergeCell ref="A2:P2"/>
    <mergeCell ref="A4:C4"/>
    <mergeCell ref="E4:G4"/>
    <mergeCell ref="I4:K4"/>
    <mergeCell ref="M4:O4"/>
    <mergeCell ref="A5:C5"/>
    <mergeCell ref="E5:G5"/>
    <mergeCell ref="I5:K5"/>
    <mergeCell ref="M5:O5"/>
    <mergeCell ref="A6:C6"/>
    <mergeCell ref="E6:G6"/>
    <mergeCell ref="I6:K6"/>
    <mergeCell ref="M6:O6"/>
    <mergeCell ref="A8:C8"/>
    <mergeCell ref="E8:G8"/>
    <mergeCell ref="I8:K8"/>
    <mergeCell ref="M8:O8"/>
    <mergeCell ref="A9:C9"/>
    <mergeCell ref="E9:G9"/>
    <mergeCell ref="I9:K9"/>
    <mergeCell ref="M9:O9"/>
    <mergeCell ref="A10:C10"/>
    <mergeCell ref="E10:G10"/>
    <mergeCell ref="I10:K10"/>
    <mergeCell ref="M10:O10"/>
    <mergeCell ref="A12:C12"/>
    <mergeCell ref="E12:G12"/>
    <mergeCell ref="I12:K12"/>
    <mergeCell ref="M12:O12"/>
    <mergeCell ref="A16:H16"/>
    <mergeCell ref="I16:P16"/>
    <mergeCell ref="A35:P35"/>
    <mergeCell ref="A13:C13"/>
    <mergeCell ref="E13:G13"/>
    <mergeCell ref="I13:K13"/>
    <mergeCell ref="M13:O13"/>
    <mergeCell ref="A14:C14"/>
    <mergeCell ref="E14:G14"/>
    <mergeCell ref="I14:K14"/>
    <mergeCell ref="M14:O1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Student Master</vt:lpstr>
      <vt:lpstr>Daily Attendance</vt:lpstr>
      <vt:lpstr>Daily Task Tracker</vt:lpstr>
      <vt:lpstr>Mock Interview Tracker</vt:lpstr>
      <vt:lpstr>Company Database</vt:lpstr>
      <vt:lpstr>Job Application Tracker</vt:lpstr>
      <vt:lpstr>Placement Tracker</vt:lpstr>
      <vt:lpstr>LinkedIn Activity Tracker</vt:lpstr>
      <vt:lpstr>GitHub Project Tracker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Nithyasri Kesavalu</cp:lastModifiedBy>
  <cp:revision>1</cp:revision>
  <dcterms:created xsi:type="dcterms:W3CDTF">2026-06-08T04:39:00Z</dcterms:created>
  <dcterms:modified xsi:type="dcterms:W3CDTF">2026-06-15T19:33:44Z</dcterms:modified>
  <dc:language>en-US</dc:language>
</cp:coreProperties>
</file>